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https://syngenta-my.sharepoint.com/personal/guilherme_moreira_syngenta_com/Documents/Desktop/AREA_TRABALHO/Arquivos_de_desenvolvimento/"/>
    </mc:Choice>
  </mc:AlternateContent>
  <xr:revisionPtr revIDLastSave="0" documentId="14_{26C5DAEC-8714-4D71-AF6B-DA704B9E97B4}" xr6:coauthVersionLast="46" xr6:coauthVersionMax="47" xr10:uidLastSave="{00000000-0000-0000-0000-000000000000}"/>
  <bookViews>
    <workbookView xWindow="230" yWindow="0" windowWidth="19420" windowHeight="10400" tabRatio="780" activeTab="2" xr2:uid="{00000000-000D-0000-FFFF-FFFF00000000}"/>
  </bookViews>
  <sheets>
    <sheet name="CAPA" sheetId="31" r:id="rId1"/>
    <sheet name="PROD" sheetId="28" r:id="rId2"/>
    <sheet name="FORN" sheetId="29" r:id="rId3"/>
    <sheet name="ENTRADAS" sheetId="22" r:id="rId4"/>
    <sheet name="SAÍDAS" sheetId="26" r:id="rId5"/>
    <sheet name="CONT. ESTOQUE" sheetId="27" r:id="rId6"/>
    <sheet name="DASH VG" sheetId="34" r:id="rId7"/>
    <sheet name="DASH ESTOQUE" sheetId="35" r:id="rId8"/>
    <sheet name="DASH RESULTADOS" sheetId="36" r:id="rId9"/>
    <sheet name="Auxiliar" sheetId="33" r:id="rId10"/>
  </sheets>
  <definedNames>
    <definedName name="LISTA_FORNECEDORES">INDIRECT("FORNECEDORES[Empresa]")</definedName>
    <definedName name="LISTA_LOJAS">INDIRECT("LOJAS[Loja]")</definedName>
    <definedName name="LISTA_PRODUTOS">INDIRECT("PRODUTO[Item]")</definedName>
    <definedName name="produtos">PRODUTO[Item]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26" l="1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73" i="26"/>
  <c r="D74" i="26"/>
  <c r="D75" i="26"/>
  <c r="D76" i="26"/>
  <c r="D77" i="26"/>
  <c r="D78" i="26"/>
  <c r="D79" i="26"/>
  <c r="D80" i="26"/>
  <c r="D81" i="26"/>
  <c r="D82" i="26"/>
  <c r="D83" i="26"/>
  <c r="D84" i="26"/>
  <c r="D85" i="26"/>
  <c r="D86" i="26"/>
  <c r="D87" i="26"/>
  <c r="D88" i="26"/>
  <c r="D89" i="26"/>
  <c r="D90" i="26"/>
  <c r="D91" i="26"/>
  <c r="D92" i="26"/>
  <c r="D93" i="26"/>
  <c r="D94" i="26"/>
  <c r="D95" i="26"/>
  <c r="D96" i="26"/>
  <c r="D97" i="26"/>
  <c r="D98" i="26"/>
  <c r="D99" i="26"/>
  <c r="D100" i="26"/>
  <c r="D101" i="26"/>
  <c r="D102" i="26"/>
  <c r="D103" i="26"/>
  <c r="D104" i="26"/>
  <c r="D105" i="26"/>
  <c r="D106" i="26"/>
  <c r="D107" i="26"/>
  <c r="D108" i="26"/>
  <c r="D109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E7" i="28"/>
  <c r="E8" i="28"/>
  <c r="E9" i="28"/>
  <c r="E10" i="28"/>
  <c r="E11" i="28"/>
  <c r="F9" i="27" s="1"/>
  <c r="E12" i="28"/>
  <c r="F10" i="27" s="1"/>
  <c r="E13" i="28"/>
  <c r="F11" i="27" s="1"/>
  <c r="E14" i="28"/>
  <c r="F12" i="27" s="1"/>
  <c r="E15" i="28"/>
  <c r="E16" i="28"/>
  <c r="F14" i="27" s="1"/>
  <c r="E17" i="28"/>
  <c r="F15" i="27" s="1"/>
  <c r="E18" i="28"/>
  <c r="F16" i="27" s="1"/>
  <c r="E19" i="28"/>
  <c r="F17" i="27" s="1"/>
  <c r="E20" i="28"/>
  <c r="F18" i="27" s="1"/>
  <c r="E21" i="28"/>
  <c r="F19" i="27" s="1"/>
  <c r="E22" i="28"/>
  <c r="F20" i="27" s="1"/>
  <c r="I6" i="22"/>
  <c r="I7" i="22"/>
  <c r="I8" i="22"/>
  <c r="I9" i="22"/>
  <c r="I10" i="22"/>
  <c r="I11" i="22"/>
  <c r="I12" i="22"/>
  <c r="I13" i="22"/>
  <c r="I14" i="22"/>
  <c r="I15" i="22"/>
  <c r="I16" i="22"/>
  <c r="I17" i="22"/>
  <c r="I18" i="22"/>
  <c r="I19" i="22"/>
  <c r="I20" i="22"/>
  <c r="I21" i="22"/>
  <c r="I22" i="22"/>
  <c r="I23" i="22"/>
  <c r="I24" i="22"/>
  <c r="I25" i="22"/>
  <c r="I26" i="22"/>
  <c r="I27" i="22"/>
  <c r="I28" i="22"/>
  <c r="I29" i="22"/>
  <c r="I30" i="22"/>
  <c r="I31" i="22"/>
  <c r="I32" i="22"/>
  <c r="I33" i="22"/>
  <c r="I34" i="22"/>
  <c r="I35" i="22"/>
  <c r="I36" i="22"/>
  <c r="I37" i="22"/>
  <c r="I38" i="22"/>
  <c r="I39" i="22"/>
  <c r="I40" i="22"/>
  <c r="I41" i="22"/>
  <c r="I42" i="22"/>
  <c r="I43" i="22"/>
  <c r="I44" i="22"/>
  <c r="I45" i="22"/>
  <c r="I46" i="22"/>
  <c r="I47" i="22"/>
  <c r="I48" i="22"/>
  <c r="I49" i="22"/>
  <c r="I50" i="22"/>
  <c r="I51" i="22"/>
  <c r="I52" i="22"/>
  <c r="I53" i="22"/>
  <c r="I54" i="22"/>
  <c r="I55" i="22"/>
  <c r="I56" i="22"/>
  <c r="I57" i="22"/>
  <c r="I58" i="22"/>
  <c r="I59" i="22"/>
  <c r="I60" i="22"/>
  <c r="I61" i="22"/>
  <c r="I62" i="22"/>
  <c r="I63" i="22"/>
  <c r="I64" i="22"/>
  <c r="I65" i="22"/>
  <c r="I66" i="22"/>
  <c r="I67" i="22"/>
  <c r="I68" i="22"/>
  <c r="I69" i="22"/>
  <c r="I70" i="22"/>
  <c r="I71" i="22"/>
  <c r="I72" i="22"/>
  <c r="I73" i="22"/>
  <c r="I74" i="22"/>
  <c r="I75" i="22"/>
  <c r="I76" i="22"/>
  <c r="I77" i="22"/>
  <c r="I78" i="22"/>
  <c r="I79" i="22"/>
  <c r="I80" i="22"/>
  <c r="I81" i="22"/>
  <c r="I82" i="22"/>
  <c r="I83" i="22"/>
  <c r="I84" i="22"/>
  <c r="I85" i="22"/>
  <c r="I86" i="22"/>
  <c r="I87" i="22"/>
  <c r="I88" i="22"/>
  <c r="I89" i="22"/>
  <c r="I90" i="22"/>
  <c r="I91" i="22"/>
  <c r="I92" i="22"/>
  <c r="I93" i="22"/>
  <c r="I94" i="22"/>
  <c r="I95" i="22"/>
  <c r="I96" i="22"/>
  <c r="I97" i="22"/>
  <c r="I98" i="22"/>
  <c r="I99" i="22"/>
  <c r="I100" i="22"/>
  <c r="I101" i="22"/>
  <c r="I102" i="22"/>
  <c r="I103" i="22"/>
  <c r="I104" i="22"/>
  <c r="I105" i="22"/>
  <c r="I106" i="22"/>
  <c r="I107" i="22"/>
  <c r="I108" i="22"/>
  <c r="I109" i="22"/>
  <c r="I110" i="22"/>
  <c r="I111" i="22"/>
  <c r="I112" i="22"/>
  <c r="I113" i="22"/>
  <c r="I114" i="22"/>
  <c r="I115" i="22"/>
  <c r="I116" i="22"/>
  <c r="I117" i="22"/>
  <c r="I118" i="22"/>
  <c r="I119" i="22"/>
  <c r="I120" i="22"/>
  <c r="I121" i="22"/>
  <c r="I122" i="22"/>
  <c r="I123" i="22"/>
  <c r="I124" i="22"/>
  <c r="I125" i="22"/>
  <c r="I126" i="22"/>
  <c r="I127" i="22"/>
  <c r="I128" i="22"/>
  <c r="I129" i="22"/>
  <c r="I130" i="22"/>
  <c r="I131" i="22"/>
  <c r="I132" i="22"/>
  <c r="I133" i="22"/>
  <c r="I134" i="22"/>
  <c r="I135" i="22"/>
  <c r="I136" i="22"/>
  <c r="I137" i="22"/>
  <c r="I138" i="22"/>
  <c r="I139" i="22"/>
  <c r="I140" i="22"/>
  <c r="I141" i="22"/>
  <c r="I142" i="22"/>
  <c r="I143" i="22"/>
  <c r="I144" i="22"/>
  <c r="I145" i="22"/>
  <c r="I146" i="22"/>
  <c r="I147" i="22"/>
  <c r="I148" i="22"/>
  <c r="I149" i="22"/>
  <c r="I150" i="22"/>
  <c r="I151" i="22"/>
  <c r="I152" i="22"/>
  <c r="I153" i="22"/>
  <c r="I154" i="22"/>
  <c r="I155" i="22"/>
  <c r="I156" i="22"/>
  <c r="I157" i="22"/>
  <c r="I158" i="22"/>
  <c r="I159" i="22"/>
  <c r="I160" i="22"/>
  <c r="I161" i="22"/>
  <c r="I162" i="22"/>
  <c r="I163" i="22"/>
  <c r="I164" i="22"/>
  <c r="I165" i="22"/>
  <c r="I5" i="22"/>
  <c r="H5" i="22"/>
  <c r="H6" i="22"/>
  <c r="H7" i="22"/>
  <c r="H8" i="22"/>
  <c r="H9" i="22"/>
  <c r="H10" i="22"/>
  <c r="H11" i="22"/>
  <c r="H12" i="22"/>
  <c r="H13" i="22"/>
  <c r="H14" i="22"/>
  <c r="H15" i="22"/>
  <c r="H16" i="22"/>
  <c r="H17" i="22"/>
  <c r="H18" i="22"/>
  <c r="H19" i="22"/>
  <c r="H20" i="22"/>
  <c r="H21" i="22"/>
  <c r="H22" i="22"/>
  <c r="H23" i="22"/>
  <c r="H24" i="22"/>
  <c r="H25" i="22"/>
  <c r="H26" i="22"/>
  <c r="H27" i="22"/>
  <c r="H28" i="22"/>
  <c r="H29" i="22"/>
  <c r="H30" i="22"/>
  <c r="H31" i="22"/>
  <c r="H32" i="22"/>
  <c r="H33" i="22"/>
  <c r="H34" i="22"/>
  <c r="H35" i="22"/>
  <c r="H36" i="22"/>
  <c r="H37" i="22"/>
  <c r="H38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7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12" i="29"/>
  <c r="D7" i="29"/>
  <c r="D8" i="29"/>
  <c r="D9" i="29"/>
  <c r="D10" i="29"/>
  <c r="D11" i="29"/>
  <c r="F13" i="27"/>
  <c r="K5" i="33"/>
  <c r="H16" i="33" l="1"/>
  <c r="D20" i="27"/>
  <c r="D10" i="27"/>
  <c r="D18" i="27"/>
  <c r="D13" i="27"/>
  <c r="D12" i="27"/>
  <c r="D11" i="27"/>
  <c r="D15" i="27"/>
  <c r="D19" i="27"/>
  <c r="D14" i="27"/>
  <c r="D17" i="27"/>
  <c r="D9" i="27"/>
  <c r="D16" i="27"/>
  <c r="C20" i="27"/>
  <c r="C10" i="27"/>
  <c r="C12" i="27"/>
  <c r="C18" i="27"/>
  <c r="C19" i="27"/>
  <c r="C16" i="27"/>
  <c r="C11" i="27"/>
  <c r="C14" i="27"/>
  <c r="C17" i="27"/>
  <c r="C15" i="27"/>
  <c r="C13" i="27"/>
  <c r="C9" i="27"/>
  <c r="C6" i="27"/>
  <c r="C7" i="27"/>
  <c r="C8" i="27"/>
  <c r="D6" i="27"/>
  <c r="D7" i="27"/>
  <c r="D8" i="27"/>
  <c r="F6" i="27"/>
  <c r="F7" i="27"/>
  <c r="F8" i="27"/>
  <c r="E15" i="27" l="1"/>
  <c r="G15" i="27" s="1"/>
  <c r="E9" i="27"/>
  <c r="G9" i="27" s="1"/>
  <c r="E10" i="27"/>
  <c r="G10" i="27" s="1"/>
  <c r="E13" i="27"/>
  <c r="G13" i="27" s="1"/>
  <c r="E20" i="27"/>
  <c r="G20" i="27" s="1"/>
  <c r="E11" i="27"/>
  <c r="G11" i="27" s="1"/>
  <c r="E18" i="27"/>
  <c r="G18" i="27" s="1"/>
  <c r="E19" i="27"/>
  <c r="G19" i="27" s="1"/>
  <c r="E12" i="27"/>
  <c r="G12" i="27" s="1"/>
  <c r="E16" i="27"/>
  <c r="G16" i="27" s="1"/>
  <c r="E14" i="27"/>
  <c r="G14" i="27" s="1"/>
  <c r="E17" i="27"/>
  <c r="G17" i="27" s="1"/>
  <c r="E7" i="27"/>
  <c r="G7" i="27" s="1"/>
  <c r="E6" i="27"/>
  <c r="G6" i="27" s="1"/>
  <c r="E8" i="27"/>
  <c r="G8" i="27" s="1"/>
  <c r="H7" i="33"/>
  <c r="D5" i="27" l="1"/>
  <c r="C5" i="27" l="1"/>
  <c r="H10" i="33" l="1"/>
  <c r="E5" i="27"/>
  <c r="K6" i="33" l="1"/>
  <c r="H6" i="33"/>
  <c r="I16" i="33" l="1"/>
  <c r="K4" i="33"/>
  <c r="E8" i="36" s="1"/>
  <c r="H17" i="33"/>
  <c r="I27" i="33"/>
  <c r="I23" i="33"/>
  <c r="I18" i="33"/>
  <c r="I24" i="33"/>
  <c r="I19" i="33"/>
  <c r="I26" i="33"/>
  <c r="I22" i="33"/>
  <c r="I17" i="33"/>
  <c r="I25" i="33"/>
  <c r="I21" i="33"/>
  <c r="I20" i="33"/>
  <c r="H24" i="33"/>
  <c r="H20" i="33"/>
  <c r="H27" i="33"/>
  <c r="H23" i="33"/>
  <c r="H19" i="33"/>
  <c r="H26" i="33"/>
  <c r="H22" i="33"/>
  <c r="H18" i="33"/>
  <c r="H25" i="33"/>
  <c r="H21" i="33"/>
  <c r="F5" i="27" l="1"/>
  <c r="H9" i="33" l="1"/>
  <c r="G5" i="27"/>
  <c r="H11" i="33" l="1"/>
  <c r="H8" i="33"/>
</calcChain>
</file>

<file path=xl/sharedStrings.xml><?xml version="1.0" encoding="utf-8"?>
<sst xmlns="http://schemas.openxmlformats.org/spreadsheetml/2006/main" count="691" uniqueCount="116">
  <si>
    <r>
      <t xml:space="preserve">CADASTRO DE </t>
    </r>
    <r>
      <rPr>
        <b/>
        <sz val="18"/>
        <color theme="7"/>
        <rFont val="Calibri"/>
        <family val="2"/>
        <scheme val="minor"/>
      </rPr>
      <t>PRODUTOS</t>
    </r>
  </si>
  <si>
    <t>Item</t>
  </si>
  <si>
    <t>Estoque Mínimo</t>
  </si>
  <si>
    <r>
      <t xml:space="preserve">CADASTRO DE </t>
    </r>
    <r>
      <rPr>
        <b/>
        <sz val="18"/>
        <color theme="7"/>
        <rFont val="Calibri"/>
        <family val="2"/>
        <scheme val="minor"/>
      </rPr>
      <t>FORNECEDORES</t>
    </r>
  </si>
  <si>
    <t>Empresa</t>
  </si>
  <si>
    <t>Telefone</t>
  </si>
  <si>
    <t>E-mail</t>
  </si>
  <si>
    <t xml:space="preserve">Estado de Origem </t>
  </si>
  <si>
    <t>Segmentação</t>
  </si>
  <si>
    <r>
      <t>CONTROLE DE</t>
    </r>
    <r>
      <rPr>
        <sz val="18"/>
        <color theme="7"/>
        <rFont val="Calibri"/>
        <family val="2"/>
        <scheme val="minor"/>
      </rPr>
      <t xml:space="preserve"> </t>
    </r>
    <r>
      <rPr>
        <b/>
        <sz val="18"/>
        <color theme="7"/>
        <rFont val="Calibri"/>
        <family val="2"/>
        <scheme val="minor"/>
      </rPr>
      <t>ENTRADAS</t>
    </r>
  </si>
  <si>
    <t>Data da Compra</t>
  </si>
  <si>
    <t>Mês</t>
  </si>
  <si>
    <t>Ano</t>
  </si>
  <si>
    <t>Produto</t>
  </si>
  <si>
    <t>Fornecedor</t>
  </si>
  <si>
    <t>Quantidade</t>
  </si>
  <si>
    <t>Nota Fiscal de compra</t>
  </si>
  <si>
    <t>OC</t>
  </si>
  <si>
    <t>Observação</t>
  </si>
  <si>
    <r>
      <t xml:space="preserve">CONTROLE DE </t>
    </r>
    <r>
      <rPr>
        <b/>
        <sz val="18"/>
        <color theme="7"/>
        <rFont val="Calibri"/>
        <family val="2"/>
        <scheme val="minor"/>
      </rPr>
      <t>SAÍDAS</t>
    </r>
  </si>
  <si>
    <t>Data da Saída</t>
  </si>
  <si>
    <t>Cliente interno</t>
  </si>
  <si>
    <r>
      <t xml:space="preserve">CONTROLE DE </t>
    </r>
    <r>
      <rPr>
        <b/>
        <sz val="18"/>
        <color rgb="FFFFC000"/>
        <rFont val="Calibri"/>
        <family val="2"/>
        <scheme val="minor"/>
      </rPr>
      <t>ESTOQUE</t>
    </r>
  </si>
  <si>
    <t>Entradas</t>
  </si>
  <si>
    <t>Saídas</t>
  </si>
  <si>
    <r>
      <t xml:space="preserve">Saldo </t>
    </r>
    <r>
      <rPr>
        <b/>
        <sz val="12"/>
        <color rgb="FFFFC000"/>
        <rFont val="Calibri"/>
        <family val="2"/>
        <scheme val="minor"/>
      </rPr>
      <t>Estoque</t>
    </r>
  </si>
  <si>
    <t xml:space="preserve">Status Estoque </t>
  </si>
  <si>
    <t>]</t>
  </si>
  <si>
    <t>DASHBOARD</t>
  </si>
  <si>
    <t>Estoque de Produtos</t>
  </si>
  <si>
    <t>CONFIGURAÇÕES</t>
  </si>
  <si>
    <t xml:space="preserve">Análise de Estoque </t>
  </si>
  <si>
    <t>Estado</t>
  </si>
  <si>
    <t xml:space="preserve"> Dash</t>
  </si>
  <si>
    <t>Sem Estoque | Realizar Pedido</t>
  </si>
  <si>
    <t>Acre</t>
  </si>
  <si>
    <t>Total de produtos</t>
  </si>
  <si>
    <t>Realizar Pedido</t>
  </si>
  <si>
    <t>Alagoas</t>
  </si>
  <si>
    <t>Total de Fornecedores</t>
  </si>
  <si>
    <t>Estoque Okay</t>
  </si>
  <si>
    <t>Amapá</t>
  </si>
  <si>
    <t xml:space="preserve">Produtos em Estoque </t>
  </si>
  <si>
    <t>Amazonas</t>
  </si>
  <si>
    <t>Entrada</t>
  </si>
  <si>
    <t>Bahia</t>
  </si>
  <si>
    <t>Ceará</t>
  </si>
  <si>
    <t>Ponto de Pedido</t>
  </si>
  <si>
    <t>Distrito Federal</t>
  </si>
  <si>
    <t>Espírito Santo</t>
  </si>
  <si>
    <t>Goiás</t>
  </si>
  <si>
    <t>Maranhão</t>
  </si>
  <si>
    <t>Descrição do Mês</t>
  </si>
  <si>
    <t>Mato Grosso</t>
  </si>
  <si>
    <t>Jan</t>
  </si>
  <si>
    <t>Mato Grosso do Sul</t>
  </si>
  <si>
    <t>Fev</t>
  </si>
  <si>
    <t>Minas Gerais</t>
  </si>
  <si>
    <t>Mar</t>
  </si>
  <si>
    <t>Pará</t>
  </si>
  <si>
    <t>Abr</t>
  </si>
  <si>
    <t>Paraíba</t>
  </si>
  <si>
    <t>Mai</t>
  </si>
  <si>
    <t>Paraná</t>
  </si>
  <si>
    <t>Jun</t>
  </si>
  <si>
    <t>Pernambuco</t>
  </si>
  <si>
    <t>Jul</t>
  </si>
  <si>
    <t>Piauí</t>
  </si>
  <si>
    <t>Ago</t>
  </si>
  <si>
    <t>Rio de Janeiro</t>
  </si>
  <si>
    <t>Set</t>
  </si>
  <si>
    <t>Rio Grande do Norte</t>
  </si>
  <si>
    <t>Out</t>
  </si>
  <si>
    <t>Rio Grande do Sul</t>
  </si>
  <si>
    <t>Nov</t>
  </si>
  <si>
    <t>Rondônia</t>
  </si>
  <si>
    <t>Dez</t>
  </si>
  <si>
    <t>Roraima</t>
  </si>
  <si>
    <t>Santa Catarina</t>
  </si>
  <si>
    <t>São Paulo</t>
  </si>
  <si>
    <t>Sergipe</t>
  </si>
  <si>
    <t>Tocantins</t>
  </si>
  <si>
    <t>Prod_Guilherme12</t>
  </si>
  <si>
    <t>Prod_Guilherme1</t>
  </si>
  <si>
    <t>Prod_Guilherme2</t>
  </si>
  <si>
    <t>Prod_Guilherme3</t>
  </si>
  <si>
    <t>Prod_Guilherme4</t>
  </si>
  <si>
    <t>Prod_Guilherme5</t>
  </si>
  <si>
    <t>Prod_Guilherme6</t>
  </si>
  <si>
    <t>Prod_Guilherme7</t>
  </si>
  <si>
    <t>Prod_Guilherme8</t>
  </si>
  <si>
    <t>Prod_Guilherme9</t>
  </si>
  <si>
    <t>Prod_Guilherme10</t>
  </si>
  <si>
    <t>Prod_Guilherme11</t>
  </si>
  <si>
    <t>Prod_Guilherme13</t>
  </si>
  <si>
    <t>Prod_Guilherme14</t>
  </si>
  <si>
    <t>Prod_Guilherme15</t>
  </si>
  <si>
    <t>Prod_Guilherme16</t>
  </si>
  <si>
    <t>Fornecdor1</t>
  </si>
  <si>
    <t>Fornecdor2</t>
  </si>
  <si>
    <t>Fornecdor3</t>
  </si>
  <si>
    <t>Fornecdor4</t>
  </si>
  <si>
    <t>Fornecdor5</t>
  </si>
  <si>
    <t>Fornecdor6</t>
  </si>
  <si>
    <t>(17) 9 9898-9898</t>
  </si>
  <si>
    <t>(17) 9 9898-9899</t>
  </si>
  <si>
    <t>(17) 9 9898-9900</t>
  </si>
  <si>
    <t>(17) 9 9898-9901</t>
  </si>
  <si>
    <t>(17) 9 9898-9902</t>
  </si>
  <si>
    <t>(17) 9 9898-9903</t>
  </si>
  <si>
    <t>Insumos eletrônicos</t>
  </si>
  <si>
    <t>Insumos mecânicos</t>
  </si>
  <si>
    <t>Polímeros</t>
  </si>
  <si>
    <t>Tintas e Silicones</t>
  </si>
  <si>
    <t>Linha de Produção</t>
  </si>
  <si>
    <t>Localização no ALM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</si>
</sst>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&quot;R$&quot;\ #,##0.00"/>
  </numFmts>
  <fonts count="28"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sz val="18"/>
      <color theme="7"/>
      <name val="Calibri"/>
      <family val="2"/>
      <scheme val="minor"/>
    </font>
    <font>
      <b/>
      <sz val="18"/>
      <color theme="7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rgb="FFFFC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8"/>
      <color theme="3" tint="-0.499984740745262"/>
      <name val="Calibri"/>
      <family val="2"/>
      <scheme val="minor"/>
    </font>
    <font>
      <sz val="11"/>
      <color rgb="FF404040"/>
      <name val="Arial"/>
      <family val="2"/>
    </font>
    <font>
      <b/>
      <sz val="11"/>
      <color theme="3" tint="-0.499984740745262"/>
      <name val="Calibri"/>
      <family val="2"/>
      <scheme val="minor"/>
    </font>
    <font>
      <sz val="11"/>
      <name val="Calibri"/>
      <scheme val="minor"/>
    </font>
    <font>
      <b/>
      <sz val="11"/>
      <name val="Calibri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283D3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theme="3" tint="-0.499984740745262"/>
      </left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76">
    <xf numFmtId="0" fontId="0" fillId="0" borderId="0" xfId="0"/>
    <xf numFmtId="0" fontId="0" fillId="2" borderId="0" xfId="0" applyFill="1"/>
    <xf numFmtId="1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7" fillId="0" borderId="0" xfId="0" applyFont="1" applyAlignment="1">
      <alignment horizontal="centerContinuous"/>
    </xf>
    <xf numFmtId="0" fontId="0" fillId="0" borderId="0" xfId="0" quotePrefix="1"/>
    <xf numFmtId="0" fontId="4" fillId="3" borderId="0" xfId="0" applyFont="1" applyFill="1" applyAlignment="1">
      <alignment horizontal="left" vertical="center"/>
    </xf>
    <xf numFmtId="0" fontId="11" fillId="0" borderId="0" xfId="2" applyBorder="1" applyAlignment="1">
      <alignment horizontal="center" vertical="center"/>
    </xf>
    <xf numFmtId="0" fontId="0" fillId="0" borderId="0" xfId="0" applyFill="1"/>
    <xf numFmtId="0" fontId="0" fillId="0" borderId="1" xfId="0" applyBorder="1" applyAlignment="1">
      <alignment horizontal="center"/>
    </xf>
    <xf numFmtId="0" fontId="12" fillId="3" borderId="1" xfId="0" applyFont="1" applyFill="1" applyBorder="1"/>
    <xf numFmtId="0" fontId="13" fillId="0" borderId="0" xfId="0" applyFont="1" applyAlignment="1">
      <alignment horizontal="center"/>
    </xf>
    <xf numFmtId="0" fontId="14" fillId="0" borderId="0" xfId="0" applyFont="1" applyFill="1" applyBorder="1" applyAlignment="1">
      <alignment horizontal="center" vertical="center"/>
    </xf>
    <xf numFmtId="165" fontId="14" fillId="0" borderId="0" xfId="0" applyNumberFormat="1" applyFont="1" applyFill="1" applyBorder="1" applyAlignment="1">
      <alignment horizontal="center" vertical="center"/>
    </xf>
    <xf numFmtId="165" fontId="15" fillId="0" borderId="0" xfId="0" applyNumberFormat="1" applyFont="1" applyFill="1" applyBorder="1" applyAlignment="1">
      <alignment horizontal="center" vertical="center"/>
    </xf>
    <xf numFmtId="10" fontId="14" fillId="0" borderId="0" xfId="3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left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5" borderId="0" xfId="0" applyFont="1" applyFill="1" applyBorder="1" applyAlignment="1">
      <alignment horizontal="center" vertical="center" wrapText="1"/>
    </xf>
    <xf numFmtId="0" fontId="17" fillId="5" borderId="0" xfId="0" applyFont="1" applyFill="1" applyAlignment="1">
      <alignment horizontal="left" vertical="center"/>
    </xf>
    <xf numFmtId="0" fontId="0" fillId="0" borderId="2" xfId="0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7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 wrapText="1"/>
    </xf>
    <xf numFmtId="0" fontId="18" fillId="5" borderId="0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0" fontId="20" fillId="5" borderId="0" xfId="0" applyFont="1" applyFill="1" applyBorder="1" applyAlignment="1">
      <alignment horizontal="center" vertical="center" wrapText="1"/>
    </xf>
    <xf numFmtId="0" fontId="19" fillId="5" borderId="0" xfId="0" applyFont="1" applyFill="1" applyBorder="1" applyAlignment="1">
      <alignment horizontal="center" vertical="center" wrapText="1"/>
    </xf>
    <xf numFmtId="0" fontId="19" fillId="5" borderId="0" xfId="0" applyFont="1" applyFill="1" applyBorder="1" applyAlignment="1">
      <alignment horizontal="center" vertical="center"/>
    </xf>
    <xf numFmtId="165" fontId="21" fillId="0" borderId="0" xfId="0" applyNumberFormat="1" applyFont="1" applyFill="1" applyBorder="1" applyAlignment="1">
      <alignment horizontal="center" vertical="center"/>
    </xf>
    <xf numFmtId="0" fontId="4" fillId="5" borderId="0" xfId="0" applyNumberFormat="1" applyFont="1" applyFill="1" applyAlignment="1">
      <alignment horizontal="left" vertical="center"/>
    </xf>
    <xf numFmtId="0" fontId="0" fillId="2" borderId="0" xfId="0" applyNumberFormat="1" applyFill="1"/>
    <xf numFmtId="0" fontId="7" fillId="0" borderId="0" xfId="0" applyNumberFormat="1" applyFont="1" applyAlignment="1">
      <alignment horizontal="centerContinuous"/>
    </xf>
    <xf numFmtId="0" fontId="12" fillId="5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0" fillId="0" borderId="0" xfId="0" applyFill="1" applyAlignment="1">
      <alignment horizontal="center"/>
    </xf>
    <xf numFmtId="0" fontId="0" fillId="4" borderId="2" xfId="0" applyFill="1" applyBorder="1" applyAlignment="1">
      <alignment horizontal="center"/>
    </xf>
    <xf numFmtId="0" fontId="22" fillId="6" borderId="1" xfId="0" applyFont="1" applyFill="1" applyBorder="1" applyAlignment="1">
      <alignment vertical="center"/>
    </xf>
    <xf numFmtId="14" fontId="0" fillId="5" borderId="0" xfId="0" applyNumberFormat="1" applyFill="1"/>
    <xf numFmtId="14" fontId="4" fillId="5" borderId="0" xfId="0" applyNumberFormat="1" applyFont="1" applyFill="1" applyAlignment="1">
      <alignment horizontal="left" vertical="center"/>
    </xf>
    <xf numFmtId="14" fontId="12" fillId="5" borderId="0" xfId="0" applyNumberFormat="1" applyFont="1" applyFill="1" applyBorder="1" applyAlignment="1">
      <alignment horizontal="center" vertical="center"/>
    </xf>
    <xf numFmtId="14" fontId="12" fillId="5" borderId="0" xfId="0" applyNumberFormat="1" applyFont="1" applyFill="1" applyBorder="1" applyAlignment="1">
      <alignment horizontal="center" vertical="center" wrapText="1"/>
    </xf>
    <xf numFmtId="14" fontId="0" fillId="2" borderId="0" xfId="0" applyNumberFormat="1" applyFill="1" applyAlignment="1">
      <alignment horizontal="left"/>
    </xf>
    <xf numFmtId="14" fontId="7" fillId="0" borderId="0" xfId="0" applyNumberFormat="1" applyFont="1" applyAlignment="1">
      <alignment horizontal="left"/>
    </xf>
    <xf numFmtId="14" fontId="0" fillId="0" borderId="0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165" fontId="1" fillId="0" borderId="0" xfId="1" applyNumberFormat="1" applyFont="1" applyAlignment="1">
      <alignment horizontal="center" vertical="center"/>
    </xf>
    <xf numFmtId="0" fontId="23" fillId="7" borderId="0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0" fillId="0" borderId="2" xfId="0" applyBorder="1" applyAlignment="1">
      <alignment horizontal="left"/>
    </xf>
    <xf numFmtId="0" fontId="24" fillId="0" borderId="0" xfId="0" applyNumberFormat="1" applyFont="1" applyAlignment="1">
      <alignment horizontal="center" vertical="center"/>
    </xf>
    <xf numFmtId="0" fontId="24" fillId="0" borderId="0" xfId="0" applyNumberFormat="1" applyFont="1" applyBorder="1" applyAlignment="1">
      <alignment horizontal="center" vertical="center"/>
    </xf>
    <xf numFmtId="0" fontId="25" fillId="0" borderId="0" xfId="1" applyNumberFormat="1" applyFont="1" applyFill="1" applyBorder="1" applyAlignment="1">
      <alignment horizontal="center" vertical="center"/>
    </xf>
    <xf numFmtId="0" fontId="24" fillId="0" borderId="0" xfId="1" applyNumberFormat="1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1" applyNumberFormat="1" applyFont="1" applyBorder="1" applyAlignment="1">
      <alignment horizontal="left" vertical="center"/>
    </xf>
    <xf numFmtId="0" fontId="27" fillId="0" borderId="0" xfId="0" applyFont="1"/>
    <xf numFmtId="0" fontId="16" fillId="5" borderId="3" xfId="0" applyFont="1" applyFill="1" applyBorder="1" applyAlignment="1">
      <alignment horizontal="center"/>
    </xf>
    <xf numFmtId="0" fontId="16" fillId="5" borderId="0" xfId="0" applyFont="1" applyFill="1" applyBorder="1" applyAlignment="1">
      <alignment horizontal="center"/>
    </xf>
  </cellXfs>
  <cellStyles count="4">
    <cellStyle name="Hiperlink" xfId="2" builtinId="8"/>
    <cellStyle name="Moeda" xfId="1" builtinId="4"/>
    <cellStyle name="Normal" xfId="0" builtinId="0"/>
    <cellStyle name="Porcentagem" xfId="3" builtinId="5"/>
  </cellStyles>
  <dxfs count="44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5" formatCode="&quot;R$&quot;\ #,##0.00"/>
      <alignment horizontal="center" vertical="center" textRotation="0" wrapText="0" indent="0" justifyLastLine="0" shrinkToFit="0" readingOrder="0"/>
    </dxf>
    <dxf>
      <font>
        <color rgb="FF0000FF"/>
      </font>
      <numFmt numFmtId="165" formatCode="&quot;R$&quot;\ #,##0.00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-0.499984740745262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 tint="-0.499984740745262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E2A2B"/>
      <color rgb="FF283D3B"/>
      <color rgb="FFF72D2D"/>
      <color rgb="FF0000FF"/>
      <color rgb="FF41C764"/>
      <color rgb="FFFA4824"/>
      <color rgb="FFFF9F1C"/>
      <color rgb="FFA49373"/>
      <color rgb="FF2D4457"/>
      <color rgb="FF1421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5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'CONT. ESTOQUE'!$B$5:$B$21</c:f>
              <c:strCache>
                <c:ptCount val="16"/>
                <c:pt idx="0">
                  <c:v>Prod_Guilherme1</c:v>
                </c:pt>
                <c:pt idx="1">
                  <c:v>Prod_Guilherme2</c:v>
                </c:pt>
                <c:pt idx="2">
                  <c:v>Prod_Guilherme3</c:v>
                </c:pt>
                <c:pt idx="3">
                  <c:v>Prod_Guilherme4</c:v>
                </c:pt>
                <c:pt idx="4">
                  <c:v>Prod_Guilherme5</c:v>
                </c:pt>
                <c:pt idx="5">
                  <c:v>Prod_Guilherme6</c:v>
                </c:pt>
                <c:pt idx="6">
                  <c:v>Prod_Guilherme7</c:v>
                </c:pt>
                <c:pt idx="7">
                  <c:v>Prod_Guilherme8</c:v>
                </c:pt>
                <c:pt idx="8">
                  <c:v>Prod_Guilherme9</c:v>
                </c:pt>
                <c:pt idx="9">
                  <c:v>Prod_Guilherme10</c:v>
                </c:pt>
                <c:pt idx="10">
                  <c:v>Prod_Guilherme11</c:v>
                </c:pt>
                <c:pt idx="11">
                  <c:v>Prod_Guilherme12</c:v>
                </c:pt>
                <c:pt idx="12">
                  <c:v>Prod_Guilherme13</c:v>
                </c:pt>
                <c:pt idx="13">
                  <c:v>Prod_Guilherme14</c:v>
                </c:pt>
                <c:pt idx="14">
                  <c:v>Prod_Guilherme15</c:v>
                </c:pt>
                <c:pt idx="15">
                  <c:v>Prod_Guilherme16</c:v>
                </c:pt>
              </c:strCache>
            </c:strRef>
          </c:cat>
          <c:val>
            <c:numRef>
              <c:f>'CONT. ESTOQUE'!$E$5:$E$22</c:f>
              <c:numCache>
                <c:formatCode>General</c:formatCode>
                <c:ptCount val="18"/>
                <c:pt idx="0">
                  <c:v>0</c:v>
                </c:pt>
                <c:pt idx="1">
                  <c:v>47</c:v>
                </c:pt>
                <c:pt idx="2">
                  <c:v>67</c:v>
                </c:pt>
                <c:pt idx="3">
                  <c:v>255</c:v>
                </c:pt>
                <c:pt idx="4">
                  <c:v>217</c:v>
                </c:pt>
                <c:pt idx="5">
                  <c:v>139</c:v>
                </c:pt>
                <c:pt idx="6">
                  <c:v>61</c:v>
                </c:pt>
                <c:pt idx="7">
                  <c:v>84</c:v>
                </c:pt>
                <c:pt idx="8">
                  <c:v>62</c:v>
                </c:pt>
                <c:pt idx="9">
                  <c:v>23</c:v>
                </c:pt>
                <c:pt idx="10">
                  <c:v>126</c:v>
                </c:pt>
                <c:pt idx="11">
                  <c:v>72</c:v>
                </c:pt>
                <c:pt idx="12">
                  <c:v>95</c:v>
                </c:pt>
                <c:pt idx="13">
                  <c:v>238</c:v>
                </c:pt>
                <c:pt idx="14">
                  <c:v>252</c:v>
                </c:pt>
                <c:pt idx="15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E-4B7D-9059-1DCB6C8317B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36334975"/>
        <c:axId val="836333727"/>
      </c:barChart>
      <c:catAx>
        <c:axId val="83633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6333727"/>
        <c:crosses val="autoZero"/>
        <c:auto val="1"/>
        <c:lblAlgn val="ctr"/>
        <c:lblOffset val="100"/>
        <c:noMultiLvlLbl val="0"/>
      </c:catAx>
      <c:valAx>
        <c:axId val="83633372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36334975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accent1">
          <a:lumMod val="50000"/>
        </a:schemeClr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Auxiliar!$H$15</c:f>
              <c:strCache>
                <c:ptCount val="1"/>
                <c:pt idx="0">
                  <c:v>Entradas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Auxiliar!$G$16:$G$27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Auxiliar!$H$16:$H$27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05-40CD-AE27-55326660A999}"/>
            </c:ext>
          </c:extLst>
        </c:ser>
        <c:ser>
          <c:idx val="1"/>
          <c:order val="1"/>
          <c:tx>
            <c:strRef>
              <c:f>Auxiliar!$I$15</c:f>
              <c:strCache>
                <c:ptCount val="1"/>
                <c:pt idx="0">
                  <c:v>Saídas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Auxiliar!$G$16:$G$27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Auxiliar!$I$16:$I$27</c:f>
              <c:numCache>
                <c:formatCode>General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05-40CD-AE27-55326660A9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79732511"/>
        <c:axId val="279709215"/>
      </c:barChart>
      <c:catAx>
        <c:axId val="279732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9709215"/>
        <c:crosses val="autoZero"/>
        <c:auto val="1"/>
        <c:lblAlgn val="ctr"/>
        <c:lblOffset val="100"/>
        <c:noMultiLvlLbl val="0"/>
      </c:catAx>
      <c:valAx>
        <c:axId val="27970921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79732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28575" cap="flat" cmpd="sng" algn="ctr">
      <a:solidFill>
        <a:srgbClr val="283D3B"/>
      </a:solidFill>
      <a:round/>
    </a:ln>
    <a:effectLst>
      <a:outerShdw blurRad="76200" dir="18900000" sy="23000" kx="-1200000" algn="bl" rotWithShape="0">
        <a:prstClr val="black">
          <a:alpha val="2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&#205;DAS!A1"/><Relationship Id="rId2" Type="http://schemas.openxmlformats.org/officeDocument/2006/relationships/hyperlink" Target="#ENTRADAS!A1"/><Relationship Id="rId1" Type="http://schemas.openxmlformats.org/officeDocument/2006/relationships/hyperlink" Target="#PROD!A1"/><Relationship Id="rId5" Type="http://schemas.openxmlformats.org/officeDocument/2006/relationships/hyperlink" Target="#'DASH VG'!A1"/><Relationship Id="rId4" Type="http://schemas.openxmlformats.org/officeDocument/2006/relationships/hyperlink" Target="#'CONT. ESTOQUE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T. ESTOQUE'!A1"/><Relationship Id="rId7" Type="http://schemas.openxmlformats.org/officeDocument/2006/relationships/image" Target="../media/image1.png"/><Relationship Id="rId2" Type="http://schemas.openxmlformats.org/officeDocument/2006/relationships/hyperlink" Target="#SA&#205;DAS!A1"/><Relationship Id="rId1" Type="http://schemas.openxmlformats.org/officeDocument/2006/relationships/hyperlink" Target="#ENTRADAS!A1"/><Relationship Id="rId6" Type="http://schemas.openxmlformats.org/officeDocument/2006/relationships/hyperlink" Target="#CAPA!A1"/><Relationship Id="rId5" Type="http://schemas.openxmlformats.org/officeDocument/2006/relationships/hyperlink" Target="#FORN!A1"/><Relationship Id="rId4" Type="http://schemas.openxmlformats.org/officeDocument/2006/relationships/hyperlink" Target="#'DASH VG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. ESTOQUE'!A1"/><Relationship Id="rId7" Type="http://schemas.openxmlformats.org/officeDocument/2006/relationships/image" Target="../media/image1.png"/><Relationship Id="rId2" Type="http://schemas.openxmlformats.org/officeDocument/2006/relationships/hyperlink" Target="#SA&#205;DAS!A1"/><Relationship Id="rId1" Type="http://schemas.openxmlformats.org/officeDocument/2006/relationships/hyperlink" Target="#ENTRADAS!A1"/><Relationship Id="rId6" Type="http://schemas.openxmlformats.org/officeDocument/2006/relationships/hyperlink" Target="#CAPA!A1"/><Relationship Id="rId5" Type="http://schemas.openxmlformats.org/officeDocument/2006/relationships/hyperlink" Target="#PROD!A1"/><Relationship Id="rId4" Type="http://schemas.openxmlformats.org/officeDocument/2006/relationships/hyperlink" Target="#'DASH VG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NT. ESTOQUE'!A1"/><Relationship Id="rId2" Type="http://schemas.openxmlformats.org/officeDocument/2006/relationships/hyperlink" Target="#PROD!A1"/><Relationship Id="rId1" Type="http://schemas.openxmlformats.org/officeDocument/2006/relationships/hyperlink" Target="#SA&#205;DAS!A1"/><Relationship Id="rId6" Type="http://schemas.openxmlformats.org/officeDocument/2006/relationships/image" Target="../media/image1.png"/><Relationship Id="rId5" Type="http://schemas.openxmlformats.org/officeDocument/2006/relationships/hyperlink" Target="#CAPA!A1"/><Relationship Id="rId4" Type="http://schemas.openxmlformats.org/officeDocument/2006/relationships/hyperlink" Target="#'DASH VG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CONT. ESTOQUE'!A1"/><Relationship Id="rId2" Type="http://schemas.openxmlformats.org/officeDocument/2006/relationships/hyperlink" Target="#PROD!A1"/><Relationship Id="rId1" Type="http://schemas.openxmlformats.org/officeDocument/2006/relationships/hyperlink" Target="#ENTRADAS!A1"/><Relationship Id="rId6" Type="http://schemas.openxmlformats.org/officeDocument/2006/relationships/image" Target="../media/image1.png"/><Relationship Id="rId5" Type="http://schemas.openxmlformats.org/officeDocument/2006/relationships/hyperlink" Target="#CAPA!A1"/><Relationship Id="rId4" Type="http://schemas.openxmlformats.org/officeDocument/2006/relationships/hyperlink" Target="#'DASH VG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ROD!A1"/><Relationship Id="rId2" Type="http://schemas.openxmlformats.org/officeDocument/2006/relationships/hyperlink" Target="#SA&#205;DAS!A1"/><Relationship Id="rId1" Type="http://schemas.openxmlformats.org/officeDocument/2006/relationships/hyperlink" Target="#ENTRADAS!A1"/><Relationship Id="rId6" Type="http://schemas.openxmlformats.org/officeDocument/2006/relationships/image" Target="../media/image1.png"/><Relationship Id="rId5" Type="http://schemas.openxmlformats.org/officeDocument/2006/relationships/hyperlink" Target="#CAPA!A1"/><Relationship Id="rId4" Type="http://schemas.openxmlformats.org/officeDocument/2006/relationships/hyperlink" Target="#'DASH VG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PROD!A1"/><Relationship Id="rId7" Type="http://schemas.openxmlformats.org/officeDocument/2006/relationships/hyperlink" Target="#CAPA!A1"/><Relationship Id="rId2" Type="http://schemas.openxmlformats.org/officeDocument/2006/relationships/hyperlink" Target="#SA&#205;DAS!A1"/><Relationship Id="rId1" Type="http://schemas.openxmlformats.org/officeDocument/2006/relationships/hyperlink" Target="#ENTRADAS!A1"/><Relationship Id="rId6" Type="http://schemas.openxmlformats.org/officeDocument/2006/relationships/hyperlink" Target="#'DASH RESULTADOS'!A1"/><Relationship Id="rId5" Type="http://schemas.openxmlformats.org/officeDocument/2006/relationships/hyperlink" Target="#'DASH ESTOQUE'!A1"/><Relationship Id="rId4" Type="http://schemas.openxmlformats.org/officeDocument/2006/relationships/hyperlink" Target="#'CONT. ESTOQUE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APA!A1"/><Relationship Id="rId3" Type="http://schemas.openxmlformats.org/officeDocument/2006/relationships/hyperlink" Target="#PROD!A1"/><Relationship Id="rId7" Type="http://schemas.openxmlformats.org/officeDocument/2006/relationships/chart" Target="../charts/chart1.xml"/><Relationship Id="rId2" Type="http://schemas.openxmlformats.org/officeDocument/2006/relationships/hyperlink" Target="#SA&#205;DAS!A1"/><Relationship Id="rId1" Type="http://schemas.openxmlformats.org/officeDocument/2006/relationships/hyperlink" Target="#ENTRADAS!A1"/><Relationship Id="rId6" Type="http://schemas.openxmlformats.org/officeDocument/2006/relationships/hyperlink" Target="#'DASH RESULTADOS'!A1"/><Relationship Id="rId5" Type="http://schemas.openxmlformats.org/officeDocument/2006/relationships/hyperlink" Target="#'DASH VG'!A1"/><Relationship Id="rId4" Type="http://schemas.openxmlformats.org/officeDocument/2006/relationships/hyperlink" Target="#'CONT. ESTOQUE'!A1"/><Relationship Id="rId9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APA!A1"/><Relationship Id="rId3" Type="http://schemas.openxmlformats.org/officeDocument/2006/relationships/hyperlink" Target="#PROD!A1"/><Relationship Id="rId7" Type="http://schemas.openxmlformats.org/officeDocument/2006/relationships/chart" Target="../charts/chart2.xml"/><Relationship Id="rId2" Type="http://schemas.openxmlformats.org/officeDocument/2006/relationships/hyperlink" Target="#SA&#205;DAS!A1"/><Relationship Id="rId1" Type="http://schemas.openxmlformats.org/officeDocument/2006/relationships/hyperlink" Target="#ENTRADAS!A1"/><Relationship Id="rId6" Type="http://schemas.openxmlformats.org/officeDocument/2006/relationships/hyperlink" Target="#'DASH ESTOQUE'!A1"/><Relationship Id="rId5" Type="http://schemas.openxmlformats.org/officeDocument/2006/relationships/hyperlink" Target="#'DASH VG'!A1"/><Relationship Id="rId4" Type="http://schemas.openxmlformats.org/officeDocument/2006/relationships/hyperlink" Target="#'CONT. ESTOQUE'!A1"/><Relationship Id="rId9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P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596349</xdr:colOff>
      <xdr:row>0</xdr:row>
      <xdr:rowOff>81722</xdr:rowOff>
    </xdr:from>
    <xdr:to>
      <xdr:col>13</xdr:col>
      <xdr:colOff>623957</xdr:colOff>
      <xdr:row>7</xdr:row>
      <xdr:rowOff>157923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66349" y="81722"/>
          <a:ext cx="7012608" cy="13517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800" b="1">
              <a:solidFill>
                <a:schemeClr val="bg1"/>
              </a:solidFill>
            </a:rPr>
            <a:t>PLANILHA CONTROLE</a:t>
          </a:r>
          <a:r>
            <a:rPr lang="pt-BR" sz="2800" b="1" baseline="0">
              <a:solidFill>
                <a:schemeClr val="bg1"/>
              </a:solidFill>
            </a:rPr>
            <a:t> DE ESTOQUE  </a:t>
          </a:r>
          <a:r>
            <a:rPr lang="pt-BR" sz="2800" b="1" baseline="0">
              <a:solidFill>
                <a:schemeClr val="accent4"/>
              </a:solidFill>
            </a:rPr>
            <a:t>Desenvolvimento: Guilherme Victor Moreira</a:t>
          </a:r>
          <a:endParaRPr lang="pt-BR" sz="2800" b="1">
            <a:solidFill>
              <a:schemeClr val="accent4"/>
            </a:solidFill>
          </a:endParaRP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161926</xdr:colOff>
      <xdr:row>12</xdr:row>
      <xdr:rowOff>123826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28800" y="1905000"/>
          <a:ext cx="1381126" cy="5048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283D3B"/>
              </a:solidFill>
            </a:rPr>
            <a:t>CADASTRO</a:t>
          </a:r>
          <a:r>
            <a:rPr lang="pt-BR" sz="1100" b="1" baseline="0">
              <a:solidFill>
                <a:srgbClr val="283D3B"/>
              </a:solidFill>
            </a:rPr>
            <a:t> DE DADOS</a:t>
          </a:r>
          <a:endParaRPr lang="pt-BR" sz="1100" b="1">
            <a:solidFill>
              <a:srgbClr val="283D3B"/>
            </a:solidFill>
          </a:endParaRPr>
        </a:p>
      </xdr:txBody>
    </xdr:sp>
    <xdr:clientData/>
  </xdr:twoCellAnchor>
  <xdr:twoCellAnchor>
    <xdr:from>
      <xdr:col>6</xdr:col>
      <xdr:colOff>0</xdr:colOff>
      <xdr:row>10</xdr:row>
      <xdr:rowOff>0</xdr:rowOff>
    </xdr:from>
    <xdr:to>
      <xdr:col>8</xdr:col>
      <xdr:colOff>161926</xdr:colOff>
      <xdr:row>12</xdr:row>
      <xdr:rowOff>123826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657600" y="1905000"/>
          <a:ext cx="1381126" cy="5048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283D3B"/>
              </a:solidFill>
            </a:rPr>
            <a:t>CONTROLE DE ENTRADAS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11</xdr:col>
      <xdr:colOff>161926</xdr:colOff>
      <xdr:row>12</xdr:row>
      <xdr:rowOff>123826</xdr:rowOff>
    </xdr:to>
    <xdr:sp macro="" textlink="">
      <xdr:nvSpPr>
        <xdr:cNvPr id="8" name="Retângul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86400" y="1905000"/>
          <a:ext cx="1381126" cy="5048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283D3B"/>
              </a:solidFill>
            </a:rPr>
            <a:t>CONTROLE DE SAÍDAS</a:t>
          </a:r>
        </a:p>
      </xdr:txBody>
    </xdr:sp>
    <xdr:clientData/>
  </xdr:twoCellAnchor>
  <xdr:twoCellAnchor>
    <xdr:from>
      <xdr:col>12</xdr:col>
      <xdr:colOff>28575</xdr:colOff>
      <xdr:row>10</xdr:row>
      <xdr:rowOff>0</xdr:rowOff>
    </xdr:from>
    <xdr:to>
      <xdr:col>14</xdr:col>
      <xdr:colOff>190501</xdr:colOff>
      <xdr:row>12</xdr:row>
      <xdr:rowOff>123826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343775" y="1905000"/>
          <a:ext cx="1381126" cy="50482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283D3B"/>
              </a:solidFill>
            </a:rPr>
            <a:t>CONTROLE DE ESTOQUE</a:t>
          </a:r>
        </a:p>
      </xdr:txBody>
    </xdr:sp>
    <xdr:clientData/>
  </xdr:twoCellAnchor>
  <xdr:twoCellAnchor>
    <xdr:from>
      <xdr:col>7</xdr:col>
      <xdr:colOff>342899</xdr:colOff>
      <xdr:row>14</xdr:row>
      <xdr:rowOff>180975</xdr:rowOff>
    </xdr:from>
    <xdr:to>
      <xdr:col>9</xdr:col>
      <xdr:colOff>504825</xdr:colOff>
      <xdr:row>17</xdr:row>
      <xdr:rowOff>114301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610099" y="2847975"/>
          <a:ext cx="1381126" cy="504826"/>
        </a:xfrm>
        <a:prstGeom prst="rect">
          <a:avLst/>
        </a:prstGeom>
        <a:solidFill>
          <a:srgbClr val="9E2A2B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DASHBOARD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411955</xdr:colOff>
      <xdr:row>0</xdr:row>
      <xdr:rowOff>109537</xdr:rowOff>
    </xdr:from>
    <xdr:to>
      <xdr:col>4</xdr:col>
      <xdr:colOff>1383955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4</xdr:col>
      <xdr:colOff>1490661</xdr:colOff>
      <xdr:row>0</xdr:row>
      <xdr:rowOff>109537</xdr:rowOff>
    </xdr:from>
    <xdr:to>
      <xdr:col>5</xdr:col>
      <xdr:colOff>938661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3</xdr:col>
      <xdr:colOff>1238249</xdr:colOff>
      <xdr:row>0</xdr:row>
      <xdr:rowOff>109537</xdr:rowOff>
    </xdr:from>
    <xdr:to>
      <xdr:col>4</xdr:col>
      <xdr:colOff>305249</xdr:colOff>
      <xdr:row>0</xdr:row>
      <xdr:rowOff>469537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rgbClr val="283D3B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5</xdr:col>
      <xdr:colOff>1045367</xdr:colOff>
      <xdr:row>0</xdr:row>
      <xdr:rowOff>109537</xdr:rowOff>
    </xdr:from>
    <xdr:to>
      <xdr:col>6</xdr:col>
      <xdr:colOff>493367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6</xdr:col>
      <xdr:colOff>600075</xdr:colOff>
      <xdr:row>0</xdr:row>
      <xdr:rowOff>109537</xdr:rowOff>
    </xdr:from>
    <xdr:to>
      <xdr:col>6</xdr:col>
      <xdr:colOff>1572075</xdr:colOff>
      <xdr:row>0</xdr:row>
      <xdr:rowOff>469537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1</xdr:col>
      <xdr:colOff>9525</xdr:colOff>
      <xdr:row>2</xdr:row>
      <xdr:rowOff>161926</xdr:rowOff>
    </xdr:from>
    <xdr:to>
      <xdr:col>1</xdr:col>
      <xdr:colOff>914400</xdr:colOff>
      <xdr:row>4</xdr:row>
      <xdr:rowOff>85725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00025" y="714376"/>
          <a:ext cx="904875" cy="304799"/>
        </a:xfrm>
        <a:prstGeom prst="rect">
          <a:avLst/>
        </a:prstGeom>
        <a:solidFill>
          <a:srgbClr val="9E2A2B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Produtos</a:t>
          </a:r>
        </a:p>
      </xdr:txBody>
    </xdr:sp>
    <xdr:clientData/>
  </xdr:twoCellAnchor>
  <xdr:twoCellAnchor editAs="absolute">
    <xdr:from>
      <xdr:col>1</xdr:col>
      <xdr:colOff>1033463</xdr:colOff>
      <xdr:row>2</xdr:row>
      <xdr:rowOff>161926</xdr:rowOff>
    </xdr:from>
    <xdr:to>
      <xdr:col>2</xdr:col>
      <xdr:colOff>328613</xdr:colOff>
      <xdr:row>4</xdr:row>
      <xdr:rowOff>85725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23963" y="714376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Fornecedores</a:t>
          </a:r>
        </a:p>
      </xdr:txBody>
    </xdr:sp>
    <xdr:clientData/>
  </xdr:twoCellAnchor>
  <xdr:twoCellAnchor editAs="oneCell">
    <xdr:from>
      <xdr:col>8</xdr:col>
      <xdr:colOff>123825</xdr:colOff>
      <xdr:row>0</xdr:row>
      <xdr:rowOff>161925</xdr:rowOff>
    </xdr:from>
    <xdr:to>
      <xdr:col>8</xdr:col>
      <xdr:colOff>457199</xdr:colOff>
      <xdr:row>0</xdr:row>
      <xdr:rowOff>421957</xdr:rowOff>
    </xdr:to>
    <xdr:pic>
      <xdr:nvPicPr>
        <xdr:cNvPr id="11" name="Imagem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0525" y="161925"/>
          <a:ext cx="333374" cy="260032"/>
        </a:xfrm>
        <a:prstGeom prst="rect">
          <a:avLst/>
        </a:prstGeom>
      </xdr:spPr>
    </xdr:pic>
    <xdr:clientData/>
  </xdr:twoCellAnchor>
  <xdr:twoCellAnchor editAs="absolute">
    <xdr:from>
      <xdr:col>5</xdr:col>
      <xdr:colOff>290513</xdr:colOff>
      <xdr:row>5</xdr:row>
      <xdr:rowOff>1</xdr:rowOff>
    </xdr:from>
    <xdr:to>
      <xdr:col>5</xdr:col>
      <xdr:colOff>1195388</xdr:colOff>
      <xdr:row>5</xdr:row>
      <xdr:rowOff>304800</xdr:rowOff>
    </xdr:to>
    <xdr:sp macro="[0]!Salvar_macro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148513" y="1171576"/>
          <a:ext cx="90487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278605</xdr:colOff>
      <xdr:row>0</xdr:row>
      <xdr:rowOff>109537</xdr:rowOff>
    </xdr:from>
    <xdr:to>
      <xdr:col>4</xdr:col>
      <xdr:colOff>1250605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4</xdr:col>
      <xdr:colOff>1357311</xdr:colOff>
      <xdr:row>0</xdr:row>
      <xdr:rowOff>109537</xdr:rowOff>
    </xdr:from>
    <xdr:to>
      <xdr:col>5</xdr:col>
      <xdr:colOff>386211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3</xdr:col>
      <xdr:colOff>1104899</xdr:colOff>
      <xdr:row>0</xdr:row>
      <xdr:rowOff>109537</xdr:rowOff>
    </xdr:from>
    <xdr:to>
      <xdr:col>4</xdr:col>
      <xdr:colOff>171899</xdr:colOff>
      <xdr:row>0</xdr:row>
      <xdr:rowOff>469537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rgbClr val="283D3B"/>
              </a:solidFill>
              <a:latin typeface="+mn-lt"/>
              <a:ea typeface="+mn-ea"/>
              <a:cs typeface="+mn-cs"/>
            </a:rPr>
            <a:t>CADASTRO</a:t>
          </a:r>
        </a:p>
      </xdr:txBody>
    </xdr:sp>
    <xdr:clientData/>
  </xdr:twoCellAnchor>
  <xdr:twoCellAnchor editAs="absolute">
    <xdr:from>
      <xdr:col>5</xdr:col>
      <xdr:colOff>492917</xdr:colOff>
      <xdr:row>0</xdr:row>
      <xdr:rowOff>109537</xdr:rowOff>
    </xdr:from>
    <xdr:to>
      <xdr:col>5</xdr:col>
      <xdr:colOff>1464917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5</xdr:col>
      <xdr:colOff>1617345</xdr:colOff>
      <xdr:row>0</xdr:row>
      <xdr:rowOff>109537</xdr:rowOff>
    </xdr:from>
    <xdr:to>
      <xdr:col>6</xdr:col>
      <xdr:colOff>516705</xdr:colOff>
      <xdr:row>0</xdr:row>
      <xdr:rowOff>469537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1</xdr:col>
      <xdr:colOff>9525</xdr:colOff>
      <xdr:row>2</xdr:row>
      <xdr:rowOff>161926</xdr:rowOff>
    </xdr:from>
    <xdr:to>
      <xdr:col>1</xdr:col>
      <xdr:colOff>914400</xdr:colOff>
      <xdr:row>4</xdr:row>
      <xdr:rowOff>85725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00025" y="714376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>
              <a:solidFill>
                <a:schemeClr val="lt1"/>
              </a:solidFill>
              <a:latin typeface="+mn-lt"/>
              <a:ea typeface="+mn-ea"/>
              <a:cs typeface="+mn-cs"/>
            </a:rPr>
            <a:t>Produtos</a:t>
          </a:r>
        </a:p>
      </xdr:txBody>
    </xdr:sp>
    <xdr:clientData/>
  </xdr:twoCellAnchor>
  <xdr:twoCellAnchor editAs="absolute">
    <xdr:from>
      <xdr:col>1</xdr:col>
      <xdr:colOff>1033463</xdr:colOff>
      <xdr:row>2</xdr:row>
      <xdr:rowOff>161926</xdr:rowOff>
    </xdr:from>
    <xdr:to>
      <xdr:col>2</xdr:col>
      <xdr:colOff>195263</xdr:colOff>
      <xdr:row>4</xdr:row>
      <xdr:rowOff>85725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223963" y="714376"/>
          <a:ext cx="904875" cy="304799"/>
        </a:xfrm>
        <a:prstGeom prst="rect">
          <a:avLst/>
        </a:prstGeom>
        <a:solidFill>
          <a:srgbClr val="9E2A2B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>
              <a:solidFill>
                <a:schemeClr val="lt1"/>
              </a:solidFill>
              <a:latin typeface="+mn-lt"/>
              <a:ea typeface="+mn-ea"/>
              <a:cs typeface="+mn-cs"/>
            </a:rPr>
            <a:t>Fornecedores</a:t>
          </a:r>
        </a:p>
      </xdr:txBody>
    </xdr:sp>
    <xdr:clientData/>
  </xdr:twoCellAnchor>
  <xdr:oneCellAnchor>
    <xdr:from>
      <xdr:col>8</xdr:col>
      <xdr:colOff>123825</xdr:colOff>
      <xdr:row>0</xdr:row>
      <xdr:rowOff>161925</xdr:rowOff>
    </xdr:from>
    <xdr:ext cx="333374" cy="260032"/>
    <xdr:pic>
      <xdr:nvPicPr>
        <xdr:cNvPr id="10" name="Imagem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0" y="161925"/>
          <a:ext cx="333374" cy="260032"/>
        </a:xfrm>
        <a:prstGeom prst="rect">
          <a:avLst/>
        </a:prstGeom>
      </xdr:spPr>
    </xdr:pic>
    <xdr:clientData/>
  </xdr:oneCellAnchor>
  <xdr:twoCellAnchor editAs="absolute">
    <xdr:from>
      <xdr:col>6</xdr:col>
      <xdr:colOff>161925</xdr:colOff>
      <xdr:row>5</xdr:row>
      <xdr:rowOff>9525</xdr:rowOff>
    </xdr:from>
    <xdr:to>
      <xdr:col>6</xdr:col>
      <xdr:colOff>1066800</xdr:colOff>
      <xdr:row>5</xdr:row>
      <xdr:rowOff>314324</xdr:rowOff>
    </xdr:to>
    <xdr:sp macro="[0]!Salvar_macro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54565" y="1152525"/>
          <a:ext cx="90487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777080</xdr:colOff>
      <xdr:row>0</xdr:row>
      <xdr:rowOff>109537</xdr:rowOff>
    </xdr:from>
    <xdr:to>
      <xdr:col>7</xdr:col>
      <xdr:colOff>225080</xdr:colOff>
      <xdr:row>0</xdr:row>
      <xdr:rowOff>469537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2"/>
              </a:solidFill>
            </a:rPr>
            <a:t>ENTRADAS</a:t>
          </a:r>
        </a:p>
      </xdr:txBody>
    </xdr:sp>
    <xdr:clientData/>
  </xdr:twoCellAnchor>
  <xdr:twoCellAnchor editAs="absolute">
    <xdr:from>
      <xdr:col>7</xdr:col>
      <xdr:colOff>331786</xdr:colOff>
      <xdr:row>0</xdr:row>
      <xdr:rowOff>109537</xdr:rowOff>
    </xdr:from>
    <xdr:to>
      <xdr:col>7</xdr:col>
      <xdr:colOff>1303786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5</xdr:col>
      <xdr:colOff>1603374</xdr:colOff>
      <xdr:row>0</xdr:row>
      <xdr:rowOff>109537</xdr:rowOff>
    </xdr:from>
    <xdr:to>
      <xdr:col>6</xdr:col>
      <xdr:colOff>670374</xdr:colOff>
      <xdr:row>0</xdr:row>
      <xdr:rowOff>469537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CADASTRO</a:t>
          </a:r>
        </a:p>
      </xdr:txBody>
    </xdr:sp>
    <xdr:clientData/>
  </xdr:twoCellAnchor>
  <xdr:twoCellAnchor editAs="absolute">
    <xdr:from>
      <xdr:col>7</xdr:col>
      <xdr:colOff>1410492</xdr:colOff>
      <xdr:row>0</xdr:row>
      <xdr:rowOff>109537</xdr:rowOff>
    </xdr:from>
    <xdr:to>
      <xdr:col>8</xdr:col>
      <xdr:colOff>858492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8</xdr:col>
      <xdr:colOff>965200</xdr:colOff>
      <xdr:row>0</xdr:row>
      <xdr:rowOff>109537</xdr:rowOff>
    </xdr:from>
    <xdr:to>
      <xdr:col>9</xdr:col>
      <xdr:colOff>308425</xdr:colOff>
      <xdr:row>0</xdr:row>
      <xdr:rowOff>469537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oneCellAnchor>
    <xdr:from>
      <xdr:col>11</xdr:col>
      <xdr:colOff>123825</xdr:colOff>
      <xdr:row>0</xdr:row>
      <xdr:rowOff>161925</xdr:rowOff>
    </xdr:from>
    <xdr:ext cx="333374" cy="260032"/>
    <xdr:pic>
      <xdr:nvPicPr>
        <xdr:cNvPr id="11" name="Imagem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900" y="161925"/>
          <a:ext cx="333374" cy="260032"/>
        </a:xfrm>
        <a:prstGeom prst="rect">
          <a:avLst/>
        </a:prstGeom>
      </xdr:spPr>
    </xdr:pic>
    <xdr:clientData/>
  </xdr:oneCellAnchor>
  <xdr:twoCellAnchor editAs="absolute">
    <xdr:from>
      <xdr:col>10</xdr:col>
      <xdr:colOff>1270</xdr:colOff>
      <xdr:row>3</xdr:row>
      <xdr:rowOff>0</xdr:rowOff>
    </xdr:from>
    <xdr:to>
      <xdr:col>11</xdr:col>
      <xdr:colOff>296545</xdr:colOff>
      <xdr:row>3</xdr:row>
      <xdr:rowOff>304799</xdr:rowOff>
    </xdr:to>
    <xdr:sp macro="[0]!Salvar_macr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662410" y="777240"/>
          <a:ext cx="90487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888205</xdr:colOff>
      <xdr:row>0</xdr:row>
      <xdr:rowOff>109537</xdr:rowOff>
    </xdr:from>
    <xdr:to>
      <xdr:col>7</xdr:col>
      <xdr:colOff>660055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7</xdr:col>
      <xdr:colOff>766761</xdr:colOff>
      <xdr:row>0</xdr:row>
      <xdr:rowOff>109537</xdr:rowOff>
    </xdr:from>
    <xdr:to>
      <xdr:col>7</xdr:col>
      <xdr:colOff>1738761</xdr:colOff>
      <xdr:row>0</xdr:row>
      <xdr:rowOff>469537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chemeClr val="tx2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5</xdr:col>
      <xdr:colOff>1666874</xdr:colOff>
      <xdr:row>0</xdr:row>
      <xdr:rowOff>109537</xdr:rowOff>
    </xdr:from>
    <xdr:to>
      <xdr:col>6</xdr:col>
      <xdr:colOff>781499</xdr:colOff>
      <xdr:row>0</xdr:row>
      <xdr:rowOff>469537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CADASTRO</a:t>
          </a:r>
        </a:p>
      </xdr:txBody>
    </xdr:sp>
    <xdr:clientData/>
  </xdr:twoCellAnchor>
  <xdr:twoCellAnchor editAs="absolute">
    <xdr:from>
      <xdr:col>7</xdr:col>
      <xdr:colOff>1845467</xdr:colOff>
      <xdr:row>0</xdr:row>
      <xdr:rowOff>109537</xdr:rowOff>
    </xdr:from>
    <xdr:to>
      <xdr:col>8</xdr:col>
      <xdr:colOff>1877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8</xdr:col>
      <xdr:colOff>104775</xdr:colOff>
      <xdr:row>0</xdr:row>
      <xdr:rowOff>109537</xdr:rowOff>
    </xdr:from>
    <xdr:to>
      <xdr:col>8</xdr:col>
      <xdr:colOff>1111065</xdr:colOff>
      <xdr:row>0</xdr:row>
      <xdr:rowOff>469537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oneCell">
    <xdr:from>
      <xdr:col>11</xdr:col>
      <xdr:colOff>123825</xdr:colOff>
      <xdr:row>0</xdr:row>
      <xdr:rowOff>161925</xdr:rowOff>
    </xdr:from>
    <xdr:to>
      <xdr:col>11</xdr:col>
      <xdr:colOff>457199</xdr:colOff>
      <xdr:row>0</xdr:row>
      <xdr:rowOff>421957</xdr:rowOff>
    </xdr:to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20525" y="161925"/>
          <a:ext cx="333374" cy="260032"/>
        </a:xfrm>
        <a:prstGeom prst="rect">
          <a:avLst/>
        </a:prstGeom>
      </xdr:spPr>
    </xdr:pic>
    <xdr:clientData/>
  </xdr:twoCellAnchor>
  <xdr:twoCellAnchor editAs="absolute">
    <xdr:from>
      <xdr:col>8</xdr:col>
      <xdr:colOff>184785</xdr:colOff>
      <xdr:row>3</xdr:row>
      <xdr:rowOff>7620</xdr:rowOff>
    </xdr:from>
    <xdr:to>
      <xdr:col>9</xdr:col>
      <xdr:colOff>0</xdr:colOff>
      <xdr:row>3</xdr:row>
      <xdr:rowOff>312419</xdr:rowOff>
    </xdr:to>
    <xdr:sp macro="[0]!Salvar_macro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9298305" y="784860"/>
          <a:ext cx="93916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716755</xdr:colOff>
      <xdr:row>0</xdr:row>
      <xdr:rowOff>109537</xdr:rowOff>
    </xdr:from>
    <xdr:to>
      <xdr:col>6</xdr:col>
      <xdr:colOff>469555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6</xdr:col>
      <xdr:colOff>576261</xdr:colOff>
      <xdr:row>0</xdr:row>
      <xdr:rowOff>109537</xdr:rowOff>
    </xdr:from>
    <xdr:to>
      <xdr:col>6</xdr:col>
      <xdr:colOff>1590171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4</xdr:col>
      <xdr:colOff>857249</xdr:colOff>
      <xdr:row>0</xdr:row>
      <xdr:rowOff>109537</xdr:rowOff>
    </xdr:from>
    <xdr:to>
      <xdr:col>5</xdr:col>
      <xdr:colOff>610049</xdr:colOff>
      <xdr:row>0</xdr:row>
      <xdr:rowOff>469537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CADASTRO DE</a:t>
          </a:r>
          <a:r>
            <a:rPr lang="pt-BR" sz="800" baseline="0"/>
            <a:t> PRODUTOS</a:t>
          </a:r>
          <a:endParaRPr lang="pt-BR" sz="800"/>
        </a:p>
      </xdr:txBody>
    </xdr:sp>
    <xdr:clientData/>
  </xdr:twoCellAnchor>
  <xdr:twoCellAnchor editAs="absolute">
    <xdr:from>
      <xdr:col>6</xdr:col>
      <xdr:colOff>1696877</xdr:colOff>
      <xdr:row>0</xdr:row>
      <xdr:rowOff>109537</xdr:rowOff>
    </xdr:from>
    <xdr:to>
      <xdr:col>7</xdr:col>
      <xdr:colOff>878177</xdr:colOff>
      <xdr:row>0</xdr:row>
      <xdr:rowOff>469537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chemeClr val="tx2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7</xdr:col>
      <xdr:colOff>984885</xdr:colOff>
      <xdr:row>0</xdr:row>
      <xdr:rowOff>109537</xdr:rowOff>
    </xdr:from>
    <xdr:to>
      <xdr:col>8</xdr:col>
      <xdr:colOff>490035</xdr:colOff>
      <xdr:row>0</xdr:row>
      <xdr:rowOff>469537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oneCell">
    <xdr:from>
      <xdr:col>10</xdr:col>
      <xdr:colOff>809625</xdr:colOff>
      <xdr:row>0</xdr:row>
      <xdr:rowOff>133350</xdr:rowOff>
    </xdr:from>
    <xdr:to>
      <xdr:col>11</xdr:col>
      <xdr:colOff>238124</xdr:colOff>
      <xdr:row>0</xdr:row>
      <xdr:rowOff>393382</xdr:rowOff>
    </xdr:to>
    <xdr:pic>
      <xdr:nvPicPr>
        <xdr:cNvPr id="9" name="Imagem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33350"/>
          <a:ext cx="333374" cy="260032"/>
        </a:xfrm>
        <a:prstGeom prst="rect">
          <a:avLst/>
        </a:prstGeom>
      </xdr:spPr>
    </xdr:pic>
    <xdr:clientData/>
  </xdr:twoCellAnchor>
  <xdr:twoCellAnchor editAs="absolute">
    <xdr:from>
      <xdr:col>7</xdr:col>
      <xdr:colOff>60960</xdr:colOff>
      <xdr:row>3</xdr:row>
      <xdr:rowOff>9525</xdr:rowOff>
    </xdr:from>
    <xdr:to>
      <xdr:col>7</xdr:col>
      <xdr:colOff>965835</xdr:colOff>
      <xdr:row>3</xdr:row>
      <xdr:rowOff>314324</xdr:rowOff>
    </xdr:to>
    <xdr:sp macro="[0]!Salvar_macro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8058150" y="800100"/>
          <a:ext cx="90487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581024</xdr:colOff>
      <xdr:row>5</xdr:row>
      <xdr:rowOff>171450</xdr:rowOff>
    </xdr:from>
    <xdr:to>
      <xdr:col>10</xdr:col>
      <xdr:colOff>45719</xdr:colOff>
      <xdr:row>27</xdr:row>
      <xdr:rowOff>53340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779144" y="1268730"/>
          <a:ext cx="12007215" cy="495681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tx2">
              <a:lumMod val="50000"/>
            </a:schemeClr>
          </a:solidFill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564355</xdr:colOff>
      <xdr:row>0</xdr:row>
      <xdr:rowOff>109537</xdr:rowOff>
    </xdr:from>
    <xdr:to>
      <xdr:col>5</xdr:col>
      <xdr:colOff>1536355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5</xdr:col>
      <xdr:colOff>1643061</xdr:colOff>
      <xdr:row>0</xdr:row>
      <xdr:rowOff>109537</xdr:rowOff>
    </xdr:from>
    <xdr:to>
      <xdr:col>7</xdr:col>
      <xdr:colOff>119511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3</xdr:col>
      <xdr:colOff>1981199</xdr:colOff>
      <xdr:row>0</xdr:row>
      <xdr:rowOff>109537</xdr:rowOff>
    </xdr:from>
    <xdr:to>
      <xdr:col>5</xdr:col>
      <xdr:colOff>457649</xdr:colOff>
      <xdr:row>0</xdr:row>
      <xdr:rowOff>469537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CADASTRO DE</a:t>
          </a:r>
          <a:r>
            <a:rPr lang="pt-BR" sz="800" baseline="0"/>
            <a:t> PRODUTOS</a:t>
          </a:r>
          <a:endParaRPr lang="pt-BR" sz="800"/>
        </a:p>
      </xdr:txBody>
    </xdr:sp>
    <xdr:clientData/>
  </xdr:twoCellAnchor>
  <xdr:twoCellAnchor editAs="absolute">
    <xdr:from>
      <xdr:col>7</xdr:col>
      <xdr:colOff>226217</xdr:colOff>
      <xdr:row>0</xdr:row>
      <xdr:rowOff>109537</xdr:rowOff>
    </xdr:from>
    <xdr:to>
      <xdr:col>7</xdr:col>
      <xdr:colOff>1198217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7</xdr:col>
      <xdr:colOff>1304925</xdr:colOff>
      <xdr:row>0</xdr:row>
      <xdr:rowOff>109537</xdr:rowOff>
    </xdr:from>
    <xdr:to>
      <xdr:col>8</xdr:col>
      <xdr:colOff>105225</xdr:colOff>
      <xdr:row>0</xdr:row>
      <xdr:rowOff>469537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chemeClr val="tx2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3</xdr:col>
      <xdr:colOff>990600</xdr:colOff>
      <xdr:row>3</xdr:row>
      <xdr:rowOff>19050</xdr:rowOff>
    </xdr:from>
    <xdr:to>
      <xdr:col>3</xdr:col>
      <xdr:colOff>1895475</xdr:colOff>
      <xdr:row>4</xdr:row>
      <xdr:rowOff>133349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676650" y="762000"/>
          <a:ext cx="904875" cy="304799"/>
        </a:xfrm>
        <a:prstGeom prst="rect">
          <a:avLst/>
        </a:prstGeom>
        <a:solidFill>
          <a:srgbClr val="9E2A2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Visão</a:t>
          </a:r>
          <a:r>
            <a:rPr lang="pt-BR" sz="1000" baseline="0"/>
            <a:t> Geral</a:t>
          </a:r>
          <a:endParaRPr lang="pt-BR" sz="1000"/>
        </a:p>
      </xdr:txBody>
    </xdr:sp>
    <xdr:clientData/>
  </xdr:twoCellAnchor>
  <xdr:twoCellAnchor editAs="absolute">
    <xdr:from>
      <xdr:col>3</xdr:col>
      <xdr:colOff>2014538</xdr:colOff>
      <xdr:row>3</xdr:row>
      <xdr:rowOff>19050</xdr:rowOff>
    </xdr:from>
    <xdr:to>
      <xdr:col>5</xdr:col>
      <xdr:colOff>423863</xdr:colOff>
      <xdr:row>4</xdr:row>
      <xdr:rowOff>133349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4700588" y="762000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Saldo Estoque</a:t>
          </a:r>
        </a:p>
      </xdr:txBody>
    </xdr:sp>
    <xdr:clientData/>
  </xdr:twoCellAnchor>
  <xdr:twoCellAnchor editAs="absolute">
    <xdr:from>
      <xdr:col>5</xdr:col>
      <xdr:colOff>542925</xdr:colOff>
      <xdr:row>3</xdr:row>
      <xdr:rowOff>19050</xdr:rowOff>
    </xdr:from>
    <xdr:to>
      <xdr:col>5</xdr:col>
      <xdr:colOff>1447800</xdr:colOff>
      <xdr:row>4</xdr:row>
      <xdr:rowOff>133349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5724525" y="762000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Produtos</a:t>
          </a:r>
        </a:p>
      </xdr:txBody>
    </xdr:sp>
    <xdr:clientData/>
  </xdr:twoCellAnchor>
  <xdr:twoCellAnchor>
    <xdr:from>
      <xdr:col>3</xdr:col>
      <xdr:colOff>251460</xdr:colOff>
      <xdr:row>8</xdr:row>
      <xdr:rowOff>449580</xdr:rowOff>
    </xdr:from>
    <xdr:to>
      <xdr:col>4</xdr:col>
      <xdr:colOff>262890</xdr:colOff>
      <xdr:row>12</xdr:row>
      <xdr:rowOff>266700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pSpPr/>
      </xdr:nvGrpSpPr>
      <xdr:grpSpPr>
        <a:xfrm>
          <a:off x="3067872" y="2115521"/>
          <a:ext cx="2282489" cy="1087120"/>
          <a:chOff x="1190625" y="4229100"/>
          <a:chExt cx="2171700" cy="704850"/>
        </a:xfrm>
      </xdr:grpSpPr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190625" y="4229100"/>
            <a:ext cx="2171700" cy="70484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200">
              <a:solidFill>
                <a:schemeClr val="bg1"/>
              </a:solidFill>
            </a:endParaRPr>
          </a:p>
        </xdr:txBody>
      </xdr: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1624013" y="4257675"/>
            <a:ext cx="1304925" cy="3023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</a:rPr>
              <a:t>Total de Produtos cadastrados</a:t>
            </a:r>
          </a:p>
        </xdr:txBody>
      </xdr:sp>
      <xdr:sp macro="" textlink="Auxiliar!H6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 txBox="1"/>
        </xdr:nvSpPr>
        <xdr:spPr>
          <a:xfrm>
            <a:off x="1547813" y="4438650"/>
            <a:ext cx="14573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91FE5E2-47DD-400D-B6A1-2E3C088BB68E}" type="TxLink">
              <a:rPr lang="en-US" sz="3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16</a:t>
            </a:fld>
            <a:endParaRPr lang="pt-BR" sz="6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218122</xdr:colOff>
      <xdr:row>8</xdr:row>
      <xdr:rowOff>449580</xdr:rowOff>
    </xdr:from>
    <xdr:to>
      <xdr:col>6</xdr:col>
      <xdr:colOff>229552</xdr:colOff>
      <xdr:row>12</xdr:row>
      <xdr:rowOff>266700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5649240" y="2115521"/>
          <a:ext cx="2282488" cy="1087120"/>
          <a:chOff x="1190625" y="4229100"/>
          <a:chExt cx="2171700" cy="704850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1190625" y="4229100"/>
            <a:ext cx="2171700" cy="70484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200">
              <a:solidFill>
                <a:schemeClr val="bg1"/>
              </a:solidFill>
            </a:endParaRPr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 txBox="1"/>
        </xdr:nvSpPr>
        <xdr:spPr>
          <a:xfrm>
            <a:off x="1190625" y="4248150"/>
            <a:ext cx="2162175" cy="19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</a:rPr>
              <a:t>Total de Fornecedores</a:t>
            </a:r>
          </a:p>
        </xdr:txBody>
      </xdr:sp>
      <xdr:sp macro="" textlink="Auxiliar!H7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1547813" y="4438650"/>
            <a:ext cx="14573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5B4D46F-0732-4D71-8536-D9D0D385C321}" type="TxLink">
              <a:rPr lang="en-US" sz="3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6</a:t>
            </a:fld>
            <a:endParaRPr lang="pt-BR" sz="6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7</xdr:col>
      <xdr:colOff>184785</xdr:colOff>
      <xdr:row>8</xdr:row>
      <xdr:rowOff>449580</xdr:rowOff>
    </xdr:from>
    <xdr:to>
      <xdr:col>8</xdr:col>
      <xdr:colOff>196215</xdr:colOff>
      <xdr:row>12</xdr:row>
      <xdr:rowOff>266700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8230609" y="2115521"/>
          <a:ext cx="2282488" cy="1087120"/>
          <a:chOff x="1190625" y="4229100"/>
          <a:chExt cx="2171700" cy="704850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/>
        </xdr:nvSpPr>
        <xdr:spPr>
          <a:xfrm>
            <a:off x="1190625" y="4229100"/>
            <a:ext cx="2171700" cy="70484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0000000-0008-0000-0600-00001A000000}"/>
              </a:ext>
            </a:extLst>
          </xdr:cNvPr>
          <xdr:cNvSpPr txBox="1"/>
        </xdr:nvSpPr>
        <xdr:spPr>
          <a:xfrm>
            <a:off x="1190625" y="4248150"/>
            <a:ext cx="2162175" cy="19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</a:rPr>
              <a:t>Qtd. Produtos em Estoque</a:t>
            </a:r>
          </a:p>
        </xdr:txBody>
      </xdr:sp>
      <xdr:sp macro="" textlink="Auxiliar!H8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600-00001B000000}"/>
              </a:ext>
            </a:extLst>
          </xdr:cNvPr>
          <xdr:cNvSpPr txBox="1"/>
        </xdr:nvSpPr>
        <xdr:spPr>
          <a:xfrm>
            <a:off x="1547813" y="4438650"/>
            <a:ext cx="14573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8172F1C-C75C-4441-8EBB-4F10D165D12F}" type="TxLink">
              <a:rPr lang="en-US" sz="3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1792</a:t>
            </a:fld>
            <a:endParaRPr lang="pt-BR" sz="3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3</xdr:col>
      <xdr:colOff>260985</xdr:colOff>
      <xdr:row>16</xdr:row>
      <xdr:rowOff>43815</xdr:rowOff>
    </xdr:from>
    <xdr:to>
      <xdr:col>4</xdr:col>
      <xdr:colOff>272415</xdr:colOff>
      <xdr:row>21</xdr:row>
      <xdr:rowOff>179070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GrpSpPr/>
      </xdr:nvGrpSpPr>
      <xdr:grpSpPr>
        <a:xfrm>
          <a:off x="3077397" y="4249756"/>
          <a:ext cx="2282489" cy="1069079"/>
          <a:chOff x="1190625" y="4229100"/>
          <a:chExt cx="2171700" cy="704850"/>
        </a:xfrm>
      </xdr:grpSpPr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600-000039000000}"/>
              </a:ext>
            </a:extLst>
          </xdr:cNvPr>
          <xdr:cNvSpPr/>
        </xdr:nvSpPr>
        <xdr:spPr>
          <a:xfrm>
            <a:off x="1190625" y="4229100"/>
            <a:ext cx="2171700" cy="70484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00000000-0008-0000-0600-00003A000000}"/>
              </a:ext>
            </a:extLst>
          </xdr:cNvPr>
          <xdr:cNvSpPr txBox="1"/>
        </xdr:nvSpPr>
        <xdr:spPr>
          <a:xfrm>
            <a:off x="1624013" y="4257675"/>
            <a:ext cx="1304925" cy="19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>
                <a:solidFill>
                  <a:schemeClr val="bg1"/>
                </a:solidFill>
              </a:rPr>
              <a:t>Entradas</a:t>
            </a:r>
          </a:p>
        </xdr:txBody>
      </xdr:sp>
      <xdr:sp macro="" textlink="Auxiliar!H9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SpPr txBox="1"/>
        </xdr:nvSpPr>
        <xdr:spPr>
          <a:xfrm>
            <a:off x="1547813" y="4438650"/>
            <a:ext cx="14573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B1F8F05-AE88-4C66-8E0D-2C904CFE6A2E}" type="TxLink">
              <a:rPr lang="en-US" sz="3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3145</a:t>
            </a:fld>
            <a:endParaRPr lang="pt-BR" sz="3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227647</xdr:colOff>
      <xdr:row>16</xdr:row>
      <xdr:rowOff>43815</xdr:rowOff>
    </xdr:from>
    <xdr:to>
      <xdr:col>6</xdr:col>
      <xdr:colOff>239077</xdr:colOff>
      <xdr:row>21</xdr:row>
      <xdr:rowOff>179070</xdr:rowOff>
    </xdr:to>
    <xdr:grpSp>
      <xdr:nvGrpSpPr>
        <xdr:cNvPr id="60" name="Agrupar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GrpSpPr/>
      </xdr:nvGrpSpPr>
      <xdr:grpSpPr>
        <a:xfrm>
          <a:off x="5658765" y="4249756"/>
          <a:ext cx="2282488" cy="1069079"/>
          <a:chOff x="1190625" y="4229100"/>
          <a:chExt cx="2171700" cy="704850"/>
        </a:xfrm>
      </xdr:grpSpPr>
      <xdr:sp macro="" textlink="">
        <xdr:nvSpPr>
          <xdr:cNvPr id="61" name="Retângulo 60">
            <a:extLst>
              <a:ext uri="{FF2B5EF4-FFF2-40B4-BE49-F238E27FC236}">
                <a16:creationId xmlns:a16="http://schemas.microsoft.com/office/drawing/2014/main" id="{00000000-0008-0000-0600-00003D000000}"/>
              </a:ext>
            </a:extLst>
          </xdr:cNvPr>
          <xdr:cNvSpPr/>
        </xdr:nvSpPr>
        <xdr:spPr>
          <a:xfrm>
            <a:off x="1190625" y="4229100"/>
            <a:ext cx="2171700" cy="70484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600-00003E000000}"/>
              </a:ext>
            </a:extLst>
          </xdr:cNvPr>
          <xdr:cNvSpPr txBox="1"/>
        </xdr:nvSpPr>
        <xdr:spPr>
          <a:xfrm>
            <a:off x="1190625" y="4248150"/>
            <a:ext cx="2162175" cy="19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</a:rPr>
              <a:t>Saídas</a:t>
            </a:r>
          </a:p>
        </xdr:txBody>
      </xdr:sp>
      <xdr:sp macro="" textlink="Auxiliar!H10">
        <xdr:nvSpPr>
          <xdr:cNvPr id="63" name="CaixaDeTexto 62">
            <a:extLst>
              <a:ext uri="{FF2B5EF4-FFF2-40B4-BE49-F238E27FC236}">
                <a16:creationId xmlns:a16="http://schemas.microsoft.com/office/drawing/2014/main" id="{00000000-0008-0000-0600-00003F000000}"/>
              </a:ext>
            </a:extLst>
          </xdr:cNvPr>
          <xdr:cNvSpPr txBox="1"/>
        </xdr:nvSpPr>
        <xdr:spPr>
          <a:xfrm>
            <a:off x="1547813" y="4438650"/>
            <a:ext cx="14573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D35D269-0419-4D3E-8A3A-E6D76F19BA2B}" type="TxLink">
              <a:rPr lang="en-US" sz="3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1353</a:t>
            </a:fld>
            <a:endParaRPr lang="pt-BR" sz="3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7</xdr:col>
      <xdr:colOff>194310</xdr:colOff>
      <xdr:row>16</xdr:row>
      <xdr:rowOff>43815</xdr:rowOff>
    </xdr:from>
    <xdr:to>
      <xdr:col>8</xdr:col>
      <xdr:colOff>205740</xdr:colOff>
      <xdr:row>21</xdr:row>
      <xdr:rowOff>179070</xdr:rowOff>
    </xdr:to>
    <xdr:grpSp>
      <xdr:nvGrpSpPr>
        <xdr:cNvPr id="64" name="Agrupar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GrpSpPr/>
      </xdr:nvGrpSpPr>
      <xdr:grpSpPr>
        <a:xfrm>
          <a:off x="8240134" y="4249756"/>
          <a:ext cx="2282488" cy="1069079"/>
          <a:chOff x="1190625" y="4229100"/>
          <a:chExt cx="2171700" cy="704850"/>
        </a:xfrm>
      </xdr:grpSpPr>
      <xdr:sp macro="" textlink="">
        <xdr:nvSpPr>
          <xdr:cNvPr id="65" name="Retângulo 64">
            <a:extLst>
              <a:ext uri="{FF2B5EF4-FFF2-40B4-BE49-F238E27FC236}">
                <a16:creationId xmlns:a16="http://schemas.microsoft.com/office/drawing/2014/main" id="{00000000-0008-0000-0600-000041000000}"/>
              </a:ext>
            </a:extLst>
          </xdr:cNvPr>
          <xdr:cNvSpPr/>
        </xdr:nvSpPr>
        <xdr:spPr>
          <a:xfrm>
            <a:off x="1190625" y="4229100"/>
            <a:ext cx="2171700" cy="70484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1"/>
              </a:solidFill>
            </a:endParaRPr>
          </a:p>
        </xdr:txBody>
      </xdr:sp>
      <xdr:sp macro="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00000000-0008-0000-0600-000042000000}"/>
              </a:ext>
            </a:extLst>
          </xdr:cNvPr>
          <xdr:cNvSpPr txBox="1"/>
        </xdr:nvSpPr>
        <xdr:spPr>
          <a:xfrm>
            <a:off x="1190625" y="4248150"/>
            <a:ext cx="2162175" cy="190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</a:rPr>
              <a:t>Ponto de Pedido</a:t>
            </a:r>
          </a:p>
        </xdr:txBody>
      </xdr:sp>
      <xdr:sp macro="" textlink="Auxiliar!H11">
        <xdr:nvSpPr>
          <xdr:cNvPr id="67" name="CaixaDeTexto 66">
            <a:extLst>
              <a:ext uri="{FF2B5EF4-FFF2-40B4-BE49-F238E27FC236}">
                <a16:creationId xmlns:a16="http://schemas.microsoft.com/office/drawing/2014/main" id="{00000000-0008-0000-0600-000043000000}"/>
              </a:ext>
            </a:extLst>
          </xdr:cNvPr>
          <xdr:cNvSpPr txBox="1"/>
        </xdr:nvSpPr>
        <xdr:spPr>
          <a:xfrm>
            <a:off x="1547813" y="4438650"/>
            <a:ext cx="1457325" cy="495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E0FE543-78DE-4F7A-ADD1-AC8DFECE5E50}" type="TxLink">
              <a:rPr lang="en-US" sz="3200" b="0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1</a:t>
            </a:fld>
            <a:endParaRPr lang="pt-BR" sz="3200" b="1">
              <a:solidFill>
                <a:schemeClr val="bg1"/>
              </a:solidFill>
            </a:endParaRPr>
          </a:p>
        </xdr:txBody>
      </xdr:sp>
    </xdr:grpSp>
    <xdr:clientData/>
  </xdr:twoCellAnchor>
  <xdr:oneCellAnchor>
    <xdr:from>
      <xdr:col>9</xdr:col>
      <xdr:colOff>123825</xdr:colOff>
      <xdr:row>0</xdr:row>
      <xdr:rowOff>161925</xdr:rowOff>
    </xdr:from>
    <xdr:ext cx="333374" cy="260032"/>
    <xdr:pic>
      <xdr:nvPicPr>
        <xdr:cNvPr id="36" name="Imagem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0" y="161925"/>
          <a:ext cx="333374" cy="260032"/>
        </a:xfrm>
        <a:prstGeom prst="rect">
          <a:avLst/>
        </a:prstGeom>
      </xdr:spPr>
    </xdr:pic>
    <xdr:clientData/>
  </xdr:oneCellAnchor>
  <xdr:twoCellAnchor editAs="absolute">
    <xdr:from>
      <xdr:col>7</xdr:col>
      <xdr:colOff>1914525</xdr:colOff>
      <xdr:row>3</xdr:row>
      <xdr:rowOff>76200</xdr:rowOff>
    </xdr:from>
    <xdr:to>
      <xdr:col>8</xdr:col>
      <xdr:colOff>647700</xdr:colOff>
      <xdr:row>4</xdr:row>
      <xdr:rowOff>180974</xdr:rowOff>
    </xdr:to>
    <xdr:sp macro="[0]!Salvar_macro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>
        <a:xfrm>
          <a:off x="9591675" y="819150"/>
          <a:ext cx="90487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240505</xdr:colOff>
      <xdr:row>0</xdr:row>
      <xdr:rowOff>109537</xdr:rowOff>
    </xdr:from>
    <xdr:to>
      <xdr:col>5</xdr:col>
      <xdr:colOff>1212505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6</xdr:col>
      <xdr:colOff>100011</xdr:colOff>
      <xdr:row>0</xdr:row>
      <xdr:rowOff>109537</xdr:rowOff>
    </xdr:from>
    <xdr:to>
      <xdr:col>6</xdr:col>
      <xdr:colOff>1072011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4</xdr:col>
      <xdr:colOff>380999</xdr:colOff>
      <xdr:row>0</xdr:row>
      <xdr:rowOff>109537</xdr:rowOff>
    </xdr:from>
    <xdr:to>
      <xdr:col>5</xdr:col>
      <xdr:colOff>133799</xdr:colOff>
      <xdr:row>0</xdr:row>
      <xdr:rowOff>469537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CADASTRO DE</a:t>
          </a:r>
          <a:r>
            <a:rPr lang="pt-BR" sz="800" baseline="0"/>
            <a:t> PRODUTOS</a:t>
          </a:r>
          <a:endParaRPr lang="pt-BR" sz="800"/>
        </a:p>
      </xdr:txBody>
    </xdr:sp>
    <xdr:clientData/>
  </xdr:twoCellAnchor>
  <xdr:twoCellAnchor editAs="absolute">
    <xdr:from>
      <xdr:col>6</xdr:col>
      <xdr:colOff>1178717</xdr:colOff>
      <xdr:row>0</xdr:row>
      <xdr:rowOff>109537</xdr:rowOff>
    </xdr:from>
    <xdr:to>
      <xdr:col>7</xdr:col>
      <xdr:colOff>721967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7</xdr:col>
      <xdr:colOff>828675</xdr:colOff>
      <xdr:row>0</xdr:row>
      <xdr:rowOff>109537</xdr:rowOff>
    </xdr:from>
    <xdr:to>
      <xdr:col>8</xdr:col>
      <xdr:colOff>333825</xdr:colOff>
      <xdr:row>0</xdr:row>
      <xdr:rowOff>469537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chemeClr val="tx2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3</xdr:col>
      <xdr:colOff>609600</xdr:colOff>
      <xdr:row>3</xdr:row>
      <xdr:rowOff>19050</xdr:rowOff>
    </xdr:from>
    <xdr:to>
      <xdr:col>4</xdr:col>
      <xdr:colOff>295275</xdr:colOff>
      <xdr:row>4</xdr:row>
      <xdr:rowOff>133349</xdr:rowOff>
    </xdr:to>
    <xdr:sp macro="" textlink="">
      <xdr:nvSpPr>
        <xdr:cNvPr id="27" name="Retângulo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3676650" y="762000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Visão</a:t>
          </a:r>
          <a:r>
            <a:rPr lang="pt-BR" sz="1000" baseline="0"/>
            <a:t> Geral</a:t>
          </a:r>
          <a:endParaRPr lang="pt-BR" sz="1000"/>
        </a:p>
      </xdr:txBody>
    </xdr:sp>
    <xdr:clientData/>
  </xdr:twoCellAnchor>
  <xdr:twoCellAnchor editAs="absolute">
    <xdr:from>
      <xdr:col>4</xdr:col>
      <xdr:colOff>414338</xdr:colOff>
      <xdr:row>3</xdr:row>
      <xdr:rowOff>19050</xdr:rowOff>
    </xdr:from>
    <xdr:to>
      <xdr:col>5</xdr:col>
      <xdr:colOff>100013</xdr:colOff>
      <xdr:row>4</xdr:row>
      <xdr:rowOff>133349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4700588" y="762000"/>
          <a:ext cx="904875" cy="304799"/>
        </a:xfrm>
        <a:prstGeom prst="rect">
          <a:avLst/>
        </a:prstGeom>
        <a:solidFill>
          <a:srgbClr val="9E2A2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Saldo Estoque</a:t>
          </a:r>
        </a:p>
      </xdr:txBody>
    </xdr:sp>
    <xdr:clientData/>
  </xdr:twoCellAnchor>
  <xdr:twoCellAnchor editAs="absolute">
    <xdr:from>
      <xdr:col>5</xdr:col>
      <xdr:colOff>219075</xdr:colOff>
      <xdr:row>3</xdr:row>
      <xdr:rowOff>19050</xdr:rowOff>
    </xdr:from>
    <xdr:to>
      <xdr:col>5</xdr:col>
      <xdr:colOff>1123950</xdr:colOff>
      <xdr:row>4</xdr:row>
      <xdr:rowOff>133349</xdr:rowOff>
    </xdr:to>
    <xdr:sp macro="" textlink="">
      <xdr:nvSpPr>
        <xdr:cNvPr id="29" name="Retângulo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5724525" y="762000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Produtos</a:t>
          </a:r>
        </a:p>
      </xdr:txBody>
    </xdr:sp>
    <xdr:clientData/>
  </xdr:twoCellAnchor>
  <xdr:twoCellAnchor>
    <xdr:from>
      <xdr:col>1</xdr:col>
      <xdr:colOff>19050</xdr:colOff>
      <xdr:row>7</xdr:row>
      <xdr:rowOff>97154</xdr:rowOff>
    </xdr:from>
    <xdr:to>
      <xdr:col>14</xdr:col>
      <xdr:colOff>121920</xdr:colOff>
      <xdr:row>30</xdr:row>
      <xdr:rowOff>114300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11</xdr:col>
      <xdr:colOff>123825</xdr:colOff>
      <xdr:row>0</xdr:row>
      <xdr:rowOff>161925</xdr:rowOff>
    </xdr:from>
    <xdr:ext cx="333374" cy="260032"/>
    <xdr:pic>
      <xdr:nvPicPr>
        <xdr:cNvPr id="14" name="Imagem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8125" y="161925"/>
          <a:ext cx="333374" cy="260032"/>
        </a:xfrm>
        <a:prstGeom prst="rect">
          <a:avLst/>
        </a:prstGeom>
      </xdr:spPr>
    </xdr:pic>
    <xdr:clientData/>
  </xdr:oneCellAnchor>
  <xdr:twoCellAnchor editAs="absolute">
    <xdr:from>
      <xdr:col>7</xdr:col>
      <xdr:colOff>885825</xdr:colOff>
      <xdr:row>3</xdr:row>
      <xdr:rowOff>123825</xdr:rowOff>
    </xdr:from>
    <xdr:to>
      <xdr:col>8</xdr:col>
      <xdr:colOff>323850</xdr:colOff>
      <xdr:row>5</xdr:row>
      <xdr:rowOff>47624</xdr:rowOff>
    </xdr:to>
    <xdr:sp macro="[0]!Salvar_macro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039225" y="866775"/>
          <a:ext cx="904875" cy="30479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516730</xdr:colOff>
      <xdr:row>0</xdr:row>
      <xdr:rowOff>109537</xdr:rowOff>
    </xdr:from>
    <xdr:to>
      <xdr:col>6</xdr:col>
      <xdr:colOff>545755</xdr:colOff>
      <xdr:row>0</xdr:row>
      <xdr:rowOff>469537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45955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ENTRADAS</a:t>
          </a:r>
        </a:p>
      </xdr:txBody>
    </xdr:sp>
    <xdr:clientData/>
  </xdr:twoCellAnchor>
  <xdr:twoCellAnchor editAs="absolute">
    <xdr:from>
      <xdr:col>6</xdr:col>
      <xdr:colOff>652461</xdr:colOff>
      <xdr:row>0</xdr:row>
      <xdr:rowOff>109537</xdr:rowOff>
    </xdr:from>
    <xdr:to>
      <xdr:col>7</xdr:col>
      <xdr:colOff>195711</xdr:colOff>
      <xdr:row>0</xdr:row>
      <xdr:rowOff>469537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824661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SAÍDAS</a:t>
          </a:r>
        </a:p>
      </xdr:txBody>
    </xdr:sp>
    <xdr:clientData/>
  </xdr:twoCellAnchor>
  <xdr:twoCellAnchor editAs="absolute">
    <xdr:from>
      <xdr:col>4</xdr:col>
      <xdr:colOff>380999</xdr:colOff>
      <xdr:row>0</xdr:row>
      <xdr:rowOff>109537</xdr:rowOff>
    </xdr:from>
    <xdr:to>
      <xdr:col>5</xdr:col>
      <xdr:colOff>410024</xdr:colOff>
      <xdr:row>0</xdr:row>
      <xdr:rowOff>469537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67249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CADASTRO DE</a:t>
          </a:r>
          <a:r>
            <a:rPr lang="pt-BR" sz="800" baseline="0"/>
            <a:t> PRODUTOS</a:t>
          </a:r>
          <a:endParaRPr lang="pt-BR" sz="800"/>
        </a:p>
      </xdr:txBody>
    </xdr:sp>
    <xdr:clientData/>
  </xdr:twoCellAnchor>
  <xdr:twoCellAnchor editAs="absolute">
    <xdr:from>
      <xdr:col>7</xdr:col>
      <xdr:colOff>302417</xdr:colOff>
      <xdr:row>0</xdr:row>
      <xdr:rowOff>109537</xdr:rowOff>
    </xdr:from>
    <xdr:to>
      <xdr:col>7</xdr:col>
      <xdr:colOff>1274417</xdr:colOff>
      <xdr:row>0</xdr:row>
      <xdr:rowOff>469537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7903367" y="109537"/>
          <a:ext cx="972000" cy="360000"/>
        </a:xfrm>
        <a:prstGeom prst="rect">
          <a:avLst/>
        </a:prstGeom>
        <a:solidFill>
          <a:schemeClr val="tx2">
            <a:lumMod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>
              <a:solidFill>
                <a:schemeClr val="lt1"/>
              </a:solidFill>
              <a:latin typeface="+mn-lt"/>
              <a:ea typeface="+mn-ea"/>
              <a:cs typeface="+mn-cs"/>
            </a:rPr>
            <a:t>CONTROLE DE ESTOQUE</a:t>
          </a:r>
        </a:p>
      </xdr:txBody>
    </xdr:sp>
    <xdr:clientData/>
  </xdr:twoCellAnchor>
  <xdr:twoCellAnchor editAs="absolute">
    <xdr:from>
      <xdr:col>7</xdr:col>
      <xdr:colOff>1381125</xdr:colOff>
      <xdr:row>0</xdr:row>
      <xdr:rowOff>109537</xdr:rowOff>
    </xdr:from>
    <xdr:to>
      <xdr:col>8</xdr:col>
      <xdr:colOff>886275</xdr:colOff>
      <xdr:row>0</xdr:row>
      <xdr:rowOff>469537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8982075" y="109537"/>
          <a:ext cx="972000" cy="360000"/>
        </a:xfrm>
        <a:prstGeom prst="rect">
          <a:avLst/>
        </a:prstGeom>
        <a:solidFill>
          <a:schemeClr val="accent4"/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1">
              <a:solidFill>
                <a:schemeClr val="tx2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3</xdr:col>
      <xdr:colOff>609600</xdr:colOff>
      <xdr:row>3</xdr:row>
      <xdr:rowOff>19050</xdr:rowOff>
    </xdr:from>
    <xdr:to>
      <xdr:col>4</xdr:col>
      <xdr:colOff>295275</xdr:colOff>
      <xdr:row>4</xdr:row>
      <xdr:rowOff>133349</xdr:rowOff>
    </xdr:to>
    <xdr:sp macro="" textlink="">
      <xdr:nvSpPr>
        <xdr:cNvPr id="16" name="Retângulo 1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676650" y="762000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Visão</a:t>
          </a:r>
          <a:r>
            <a:rPr lang="pt-BR" sz="1000" baseline="0"/>
            <a:t> Geral</a:t>
          </a:r>
          <a:endParaRPr lang="pt-BR" sz="1000"/>
        </a:p>
      </xdr:txBody>
    </xdr:sp>
    <xdr:clientData/>
  </xdr:twoCellAnchor>
  <xdr:twoCellAnchor editAs="absolute">
    <xdr:from>
      <xdr:col>4</xdr:col>
      <xdr:colOff>414338</xdr:colOff>
      <xdr:row>3</xdr:row>
      <xdr:rowOff>19050</xdr:rowOff>
    </xdr:from>
    <xdr:to>
      <xdr:col>5</xdr:col>
      <xdr:colOff>376238</xdr:colOff>
      <xdr:row>4</xdr:row>
      <xdr:rowOff>133349</xdr:rowOff>
    </xdr:to>
    <xdr:sp macro="" textlink="">
      <xdr:nvSpPr>
        <xdr:cNvPr id="17" name="Retângulo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4700588" y="762000"/>
          <a:ext cx="904875" cy="304799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/>
            <a:t>Saldo Estoque</a:t>
          </a:r>
        </a:p>
      </xdr:txBody>
    </xdr:sp>
    <xdr:clientData/>
  </xdr:twoCellAnchor>
  <xdr:twoCellAnchor editAs="absolute">
    <xdr:from>
      <xdr:col>5</xdr:col>
      <xdr:colOff>495300</xdr:colOff>
      <xdr:row>3</xdr:row>
      <xdr:rowOff>19050</xdr:rowOff>
    </xdr:from>
    <xdr:to>
      <xdr:col>6</xdr:col>
      <xdr:colOff>457200</xdr:colOff>
      <xdr:row>4</xdr:row>
      <xdr:rowOff>133349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5724525" y="762000"/>
          <a:ext cx="904875" cy="304799"/>
        </a:xfrm>
        <a:prstGeom prst="rect">
          <a:avLst/>
        </a:prstGeom>
        <a:solidFill>
          <a:srgbClr val="9E2A2B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/>
            <a:t>Produtos</a:t>
          </a:r>
        </a:p>
      </xdr:txBody>
    </xdr:sp>
    <xdr:clientData/>
  </xdr:twoCellAnchor>
  <xdr:twoCellAnchor>
    <xdr:from>
      <xdr:col>1</xdr:col>
      <xdr:colOff>0</xdr:colOff>
      <xdr:row>8</xdr:row>
      <xdr:rowOff>152400</xdr:rowOff>
    </xdr:from>
    <xdr:to>
      <xdr:col>14</xdr:col>
      <xdr:colOff>114300</xdr:colOff>
      <xdr:row>28</xdr:row>
      <xdr:rowOff>144780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11</xdr:col>
      <xdr:colOff>123825</xdr:colOff>
      <xdr:row>0</xdr:row>
      <xdr:rowOff>161925</xdr:rowOff>
    </xdr:from>
    <xdr:ext cx="333374" cy="260032"/>
    <xdr:pic>
      <xdr:nvPicPr>
        <xdr:cNvPr id="12" name="Imagem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1975" y="161925"/>
          <a:ext cx="333374" cy="260032"/>
        </a:xfrm>
        <a:prstGeom prst="rect">
          <a:avLst/>
        </a:prstGeom>
      </xdr:spPr>
    </xdr:pic>
    <xdr:clientData/>
  </xdr:oneCellAnchor>
  <xdr:twoCellAnchor editAs="absolute">
    <xdr:from>
      <xdr:col>9</xdr:col>
      <xdr:colOff>45720</xdr:colOff>
      <xdr:row>3</xdr:row>
      <xdr:rowOff>72390</xdr:rowOff>
    </xdr:from>
    <xdr:to>
      <xdr:col>10</xdr:col>
      <xdr:colOff>1905</xdr:colOff>
      <xdr:row>4</xdr:row>
      <xdr:rowOff>179069</xdr:rowOff>
    </xdr:to>
    <xdr:sp macro="[0]!Salvar_macro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10363200" y="803910"/>
          <a:ext cx="946785" cy="28955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rgbClr val="000000"/>
              </a:solidFill>
            </a:rPr>
            <a:t>Salvar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133350</xdr:colOff>
      <xdr:row>0</xdr:row>
      <xdr:rowOff>142875</xdr:rowOff>
    </xdr:from>
    <xdr:to>
      <xdr:col>13</xdr:col>
      <xdr:colOff>466724</xdr:colOff>
      <xdr:row>0</xdr:row>
      <xdr:rowOff>402907</xdr:rowOff>
    </xdr:to>
    <xdr:pic>
      <xdr:nvPicPr>
        <xdr:cNvPr id="9" name="Imagem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1325" y="142875"/>
          <a:ext cx="333374" cy="26003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DUTO" displayName="PRODUTO" ref="B6:E22" totalsRowShown="0" headerRowDxfId="43" dataDxfId="42">
  <autoFilter ref="B6:E22" xr:uid="{00000000-0009-0000-0100-000001000000}"/>
  <tableColumns count="4">
    <tableColumn id="1" xr3:uid="{00000000-0010-0000-0000-000001000000}" name="Item" dataDxfId="41"/>
    <tableColumn id="2" xr3:uid="{00000000-0010-0000-0000-000002000000}" name="Localização no ALM" dataDxfId="40">
      <calculatedColumnFormula>"ALM"&amp;RANDBETWEEN(1,10)</calculatedColumnFormula>
    </tableColumn>
    <tableColumn id="3" xr3:uid="{00000000-0010-0000-0000-000003000000}" name="Linha de Produção" dataDxfId="39">
      <calculatedColumnFormula>"Linha"&amp;RANDBETWEEN(1,7)</calculatedColumnFormula>
    </tableColumn>
    <tableColumn id="4" xr3:uid="{00000000-0010-0000-0000-000004000000}" name="Estoque Mínimo" dataDxfId="38">
      <calculatedColumnFormula>RANDBETWEEN(34,45)</calculatedColumnFormula>
    </tableColumn>
  </tableColumns>
  <tableStyleInfo name="TableStyleMedium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ORNECEDORES" displayName="FORNECEDORES" ref="B6:F12" totalsRowShown="0" headerRowDxfId="37" dataDxfId="36">
  <autoFilter ref="B6:F12" xr:uid="{00000000-0009-0000-0100-000002000000}"/>
  <tableColumns count="5">
    <tableColumn id="1" xr3:uid="{00000000-0010-0000-0100-000001000000}" name="Empresa" dataDxfId="35"/>
    <tableColumn id="2" xr3:uid="{00000000-0010-0000-0100-000002000000}" name="Telefone" dataDxfId="34"/>
    <tableColumn id="3" xr3:uid="{00000000-0010-0000-0100-000003000000}" name="E-mail" dataDxfId="33">
      <calculatedColumnFormula>FORNECEDORES[[#This Row],[Empresa]]&amp;"@guilherme.com"</calculatedColumnFormula>
    </tableColumn>
    <tableColumn id="4" xr3:uid="{00000000-0010-0000-0100-000004000000}" name="Estado de Origem " dataDxfId="32"/>
    <tableColumn id="5" xr3:uid="{00000000-0010-0000-0100-000005000000}" name="Segmentação" dataDxfId="31"/>
  </tableColumns>
  <tableStyleInfo name="TableStyleMedium4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NTRADAS" displayName="ENTRADAS" ref="B4:J165" totalsRowShown="0" headerRowDxfId="30" dataDxfId="29">
  <autoFilter ref="B4:J165" xr:uid="{00000000-0009-0000-0100-000003000000}"/>
  <tableColumns count="9">
    <tableColumn id="1" xr3:uid="{00000000-0010-0000-0200-000001000000}" name="Data da Compra" dataDxfId="28"/>
    <tableColumn id="8" xr3:uid="{00000000-0010-0000-0200-000008000000}" name="Mês" dataDxfId="27">
      <calculatedColumnFormula>MONTH(ENTRADAS[[#This Row],[Data da Compra]])</calculatedColumnFormula>
    </tableColumn>
    <tableColumn id="7" xr3:uid="{00000000-0010-0000-0200-000007000000}" name="Ano" dataDxfId="26">
      <calculatedColumnFormula>YEAR(ENTRADAS[[#This Row],[Data da Compra]])</calculatedColumnFormula>
    </tableColumn>
    <tableColumn id="2" xr3:uid="{00000000-0010-0000-0200-000002000000}" name="Produto" dataDxfId="25"/>
    <tableColumn id="3" xr3:uid="{00000000-0010-0000-0200-000003000000}" name="Fornecedor" dataDxfId="24"/>
    <tableColumn id="4" xr3:uid="{00000000-0010-0000-0200-000004000000}" name="Quantidade" dataDxfId="23"/>
    <tableColumn id="5" xr3:uid="{00000000-0010-0000-0200-000005000000}" name="Nota Fiscal de compra" dataDxfId="22" dataCellStyle="Moeda">
      <calculatedColumnFormula>"NF"&amp;RANDBETWEEN(1,147)</calculatedColumnFormula>
    </tableColumn>
    <tableColumn id="6" xr3:uid="{00000000-0010-0000-0200-000006000000}" name="OC" dataDxfId="21">
      <calculatedColumnFormula>"OC"&amp;RANDBETWEEN(1,147)</calculatedColumnFormula>
    </tableColumn>
    <tableColumn id="9" xr3:uid="{818AF79D-CEFD-4164-953A-E88A815F2380}" name="Observação" dataDxfId="20"/>
  </tableColumns>
  <tableStyleInfo name="TableStyleMedium4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SAÍDAS" displayName="SAÍDAS" ref="B4:H109" totalsRowShown="0" headerRowDxfId="19" dataDxfId="18">
  <autoFilter ref="B4:H109" xr:uid="{00000000-0009-0000-0100-000006000000}"/>
  <tableColumns count="7">
    <tableColumn id="1" xr3:uid="{00000000-0010-0000-0300-000001000000}" name="Data da Saída" dataDxfId="17"/>
    <tableColumn id="7" xr3:uid="{00000000-0010-0000-0300-000007000000}" name="Mês" dataDxfId="16">
      <calculatedColumnFormula>MONTH(SAÍDAS[[#This Row],[Data da Saída]])</calculatedColumnFormula>
    </tableColumn>
    <tableColumn id="6" xr3:uid="{00000000-0010-0000-0300-000006000000}" name="Ano" dataDxfId="15">
      <calculatedColumnFormula>YEAR(SAÍDAS[[#This Row],[Data da Saída]])</calculatedColumnFormula>
    </tableColumn>
    <tableColumn id="2" xr3:uid="{00000000-0010-0000-0300-000002000000}" name="Produto" dataDxfId="14"/>
    <tableColumn id="3" xr3:uid="{00000000-0010-0000-0300-000003000000}" name="Cliente interno" dataDxfId="13"/>
    <tableColumn id="4" xr3:uid="{00000000-0010-0000-0300-000004000000}" name="Quantidade" dataDxfId="12"/>
    <tableColumn id="5" xr3:uid="{00000000-0010-0000-0300-000005000000}" name="Observação" dataDxfId="11" dataCellStyle="Moeda"/>
  </tableColumns>
  <tableStyleInfo name="TableStyleMedium4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CONTROLE" displayName="CONTROLE" ref="B4:G20" totalsRowShown="0" headerRowDxfId="7" dataDxfId="6">
  <autoFilter ref="B4:G20" xr:uid="{00000000-0009-0000-0100-000007000000}"/>
  <tableColumns count="6">
    <tableColumn id="1" xr3:uid="{00000000-0010-0000-0400-000001000000}" name="Produto" dataDxfId="5"/>
    <tableColumn id="3" xr3:uid="{00000000-0010-0000-0400-000003000000}" name="Entradas" dataDxfId="4">
      <calculatedColumnFormula>IF(CONTROLE[[#This Row],[Produto]]&lt;&gt;"",SUMIF(ENTRADAS[Produto],CONTROLE[[#This Row],[Produto]],ENTRADAS[Quantidade]),"")</calculatedColumnFormula>
    </tableColumn>
    <tableColumn id="4" xr3:uid="{00000000-0010-0000-0400-000004000000}" name="Saídas" dataDxfId="3">
      <calculatedColumnFormula>IF(CONTROLE[[#This Row],[Produto]]&lt;&gt;"",SUMIF(SAÍDAS!E:E,CONTROLE[[#This Row],[Produto]],SAÍDAS!G:G),"")</calculatedColumnFormula>
    </tableColumn>
    <tableColumn id="5" xr3:uid="{00000000-0010-0000-0400-000005000000}" name="Saldo Estoque" dataDxfId="2" dataCellStyle="Moeda">
      <calculatedColumnFormula>IFERROR(CONTROLE[[#This Row],[Entradas]]-CONTROLE[[#This Row],[Saídas]],"")</calculatedColumnFormula>
    </tableColumn>
    <tableColumn id="6" xr3:uid="{00000000-0010-0000-0400-000006000000}" name="Estoque Mínimo" dataDxfId="1" dataCellStyle="Moeda">
      <calculatedColumnFormula>IFERROR(VLOOKUP(CONTROLE[[#This Row],[Produto]],PRODUTO[#All],4,0),"")</calculatedColumnFormula>
    </tableColumn>
    <tableColumn id="7" xr3:uid="{00000000-0010-0000-0400-000007000000}" name="Status Estoque " dataDxfId="0">
      <calculatedColumnFormula>IF(CONTROLE[[#This Row],[Produto]]&lt;&gt;"",IF(CONTROLE[[#This Row],[Saldo Estoque]]=0,Auxiliar!$B$6,IF(CONTROLE[[#This Row],[Saldo Estoque]]&lt;CONTROLE[[#This Row],[Estoque Mínimo]],Auxiliar!$B$7,Auxiliar!$B$8)),"")</calculatedColumnFormula>
    </tableColumn>
  </tableColumns>
  <tableStyleInfo name="TableStyleMedium8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odamateria.com.br/estado-do-espirito-santo/" TargetMode="External"/><Relationship Id="rId13" Type="http://schemas.openxmlformats.org/officeDocument/2006/relationships/hyperlink" Target="https://www.todamateria.com.br/estado-de-minas-gerais/" TargetMode="External"/><Relationship Id="rId18" Type="http://schemas.openxmlformats.org/officeDocument/2006/relationships/hyperlink" Target="https://www.todamateria.com.br/estado-do-piaui/" TargetMode="External"/><Relationship Id="rId26" Type="http://schemas.openxmlformats.org/officeDocument/2006/relationships/hyperlink" Target="https://www.todamateria.com.br/estado-de-sergipe/" TargetMode="External"/><Relationship Id="rId3" Type="http://schemas.openxmlformats.org/officeDocument/2006/relationships/hyperlink" Target="https://www.todamateria.com.br/amapa/" TargetMode="External"/><Relationship Id="rId21" Type="http://schemas.openxmlformats.org/officeDocument/2006/relationships/hyperlink" Target="https://www.todamateria.com.br/rio-grande-do-sul/" TargetMode="External"/><Relationship Id="rId7" Type="http://schemas.openxmlformats.org/officeDocument/2006/relationships/hyperlink" Target="https://www.todamateria.com.br/distrito-federal/" TargetMode="External"/><Relationship Id="rId12" Type="http://schemas.openxmlformats.org/officeDocument/2006/relationships/hyperlink" Target="https://www.todamateria.com.br/estado-do-mato-grosso-do-sul/" TargetMode="External"/><Relationship Id="rId17" Type="http://schemas.openxmlformats.org/officeDocument/2006/relationships/hyperlink" Target="https://www.todamateria.com.br/estado-de-pernambuco/" TargetMode="External"/><Relationship Id="rId25" Type="http://schemas.openxmlformats.org/officeDocument/2006/relationships/hyperlink" Target="https://www.todamateria.com.br/estado-de-sao-paulo/" TargetMode="External"/><Relationship Id="rId2" Type="http://schemas.openxmlformats.org/officeDocument/2006/relationships/hyperlink" Target="https://www.todamateria.com.br/estado-de-alagoas/" TargetMode="External"/><Relationship Id="rId16" Type="http://schemas.openxmlformats.org/officeDocument/2006/relationships/hyperlink" Target="https://www.todamateria.com.br/estado-do-parana/" TargetMode="External"/><Relationship Id="rId20" Type="http://schemas.openxmlformats.org/officeDocument/2006/relationships/hyperlink" Target="https://www.todamateria.com.br/rio-grande-do-norte/" TargetMode="External"/><Relationship Id="rId29" Type="http://schemas.openxmlformats.org/officeDocument/2006/relationships/drawing" Target="../drawings/drawing10.xml"/><Relationship Id="rId1" Type="http://schemas.openxmlformats.org/officeDocument/2006/relationships/hyperlink" Target="https://www.todamateria.com.br/estado-do-acre/" TargetMode="External"/><Relationship Id="rId6" Type="http://schemas.openxmlformats.org/officeDocument/2006/relationships/hyperlink" Target="https://www.todamateria.com.br/estado-do-ceara/" TargetMode="External"/><Relationship Id="rId11" Type="http://schemas.openxmlformats.org/officeDocument/2006/relationships/hyperlink" Target="https://www.todamateria.com.br/estado-de-mato-grosso/" TargetMode="External"/><Relationship Id="rId24" Type="http://schemas.openxmlformats.org/officeDocument/2006/relationships/hyperlink" Target="https://www.todamateria.com.br/estado-de-santa-catarina/" TargetMode="External"/><Relationship Id="rId5" Type="http://schemas.openxmlformats.org/officeDocument/2006/relationships/hyperlink" Target="https://www.todamateria.com.br/estado-da-bahia/" TargetMode="External"/><Relationship Id="rId15" Type="http://schemas.openxmlformats.org/officeDocument/2006/relationships/hyperlink" Target="https://www.todamateria.com.br/estado-da-paraiba/" TargetMode="External"/><Relationship Id="rId23" Type="http://schemas.openxmlformats.org/officeDocument/2006/relationships/hyperlink" Target="https://www.todamateria.com.br/estado-de-roraima/" TargetMode="External"/><Relationship Id="rId28" Type="http://schemas.openxmlformats.org/officeDocument/2006/relationships/printerSettings" Target="../printerSettings/printerSettings9.bin"/><Relationship Id="rId10" Type="http://schemas.openxmlformats.org/officeDocument/2006/relationships/hyperlink" Target="https://www.todamateria.com.br/estado-do-maranhao/" TargetMode="External"/><Relationship Id="rId19" Type="http://schemas.openxmlformats.org/officeDocument/2006/relationships/hyperlink" Target="https://www.todamateria.com.br/estado-do-rio-de-janeiro/" TargetMode="External"/><Relationship Id="rId4" Type="http://schemas.openxmlformats.org/officeDocument/2006/relationships/hyperlink" Target="https://www.todamateria.com.br/estado-do-amazonas/" TargetMode="External"/><Relationship Id="rId9" Type="http://schemas.openxmlformats.org/officeDocument/2006/relationships/hyperlink" Target="https://www.todamateria.com.br/estado-de-goias/" TargetMode="External"/><Relationship Id="rId14" Type="http://schemas.openxmlformats.org/officeDocument/2006/relationships/hyperlink" Target="https://www.todamateria.com.br/estado-do-para/" TargetMode="External"/><Relationship Id="rId22" Type="http://schemas.openxmlformats.org/officeDocument/2006/relationships/hyperlink" Target="https://www.todamateria.com.br/estado-de-rondonia/" TargetMode="External"/><Relationship Id="rId27" Type="http://schemas.openxmlformats.org/officeDocument/2006/relationships/hyperlink" Target="https://www.todamateria.com.br/estado-do-tocantin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XFC23"/>
  <sheetViews>
    <sheetView showGridLines="0" showRowColHeaders="0" topLeftCell="C2" zoomScale="145" zoomScaleNormal="145" workbookViewId="0">
      <selection activeCell="C3" sqref="C3"/>
    </sheetView>
  </sheetViews>
  <sheetFormatPr defaultColWidth="0" defaultRowHeight="14.5" zeroHeight="1"/>
  <cols>
    <col min="1" max="17" width="9.08984375" style="23" customWidth="1"/>
    <col min="18" max="16383" width="9.08984375" style="11" hidden="1"/>
    <col min="16384" max="16384" width="17.90625" style="11" hidden="1" customWidth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A1:G22"/>
  <sheetViews>
    <sheetView showGridLines="0" showRowColHeaders="0" workbookViewId="0">
      <pane ySplit="6" topLeftCell="A12" activePane="bottomLeft" state="frozen"/>
      <selection pane="bottomLeft"/>
    </sheetView>
  </sheetViews>
  <sheetFormatPr defaultRowHeight="14.5"/>
  <cols>
    <col min="1" max="1" width="2.90625" customWidth="1"/>
    <col min="2" max="2" width="24.08984375" customWidth="1"/>
    <col min="3" max="3" width="24.453125" customWidth="1"/>
    <col min="4" max="4" width="28.54296875" customWidth="1"/>
    <col min="5" max="6" width="22.90625" customWidth="1"/>
    <col min="7" max="7" width="24.453125" customWidth="1"/>
    <col min="8" max="8" width="26.90625" customWidth="1"/>
  </cols>
  <sheetData>
    <row r="1" spans="1:7" s="23" customFormat="1" ht="39.75" customHeight="1">
      <c r="B1" s="24" t="s">
        <v>0</v>
      </c>
    </row>
    <row r="2" spans="1:7" s="1" customFormat="1" ht="3.75" customHeight="1"/>
    <row r="5" spans="1:7" ht="18.5">
      <c r="B5" s="7"/>
      <c r="C5" s="6"/>
      <c r="D5" s="6"/>
      <c r="E5" s="6"/>
      <c r="F5" s="6"/>
      <c r="G5" s="6"/>
    </row>
    <row r="6" spans="1:7" ht="35.25" customHeight="1">
      <c r="B6" s="64" t="s">
        <v>1</v>
      </c>
      <c r="C6" s="64" t="s">
        <v>115</v>
      </c>
      <c r="D6" s="64" t="s">
        <v>114</v>
      </c>
      <c r="E6" s="64" t="s">
        <v>2</v>
      </c>
    </row>
    <row r="7" spans="1:7">
      <c r="A7" s="73"/>
      <c r="B7" s="2" t="s">
        <v>83</v>
      </c>
      <c r="C7" s="3" t="str">
        <f ca="1">"ALM"&amp;RANDBETWEEN(1,10)</f>
        <v>ALM3</v>
      </c>
      <c r="D7" s="3" t="str">
        <f t="shared" ref="D7:D22" ca="1" si="0">"Linha"&amp;RANDBETWEEN(1,7)</f>
        <v>Linha7</v>
      </c>
      <c r="E7" s="3">
        <f t="shared" ref="E7:E22" ca="1" si="1">RANDBETWEEN(34,45)</f>
        <v>45</v>
      </c>
    </row>
    <row r="8" spans="1:7">
      <c r="A8" s="73"/>
      <c r="B8" s="2" t="s">
        <v>84</v>
      </c>
      <c r="C8" s="3" t="str">
        <f t="shared" ref="C8:C22" ca="1" si="2">"ALM"&amp;RANDBETWEEN(1,10)</f>
        <v>ALM5</v>
      </c>
      <c r="D8" s="47" t="str">
        <f t="shared" ca="1" si="0"/>
        <v>Linha6</v>
      </c>
      <c r="E8" s="4">
        <f t="shared" ca="1" si="1"/>
        <v>40</v>
      </c>
    </row>
    <row r="9" spans="1:7">
      <c r="A9" s="73"/>
      <c r="B9" s="2" t="s">
        <v>85</v>
      </c>
      <c r="C9" s="3" t="str">
        <f t="shared" ca="1" si="2"/>
        <v>ALM5</v>
      </c>
      <c r="D9" s="47" t="str">
        <f t="shared" ca="1" si="0"/>
        <v>Linha7</v>
      </c>
      <c r="E9" s="4">
        <f t="shared" ca="1" si="1"/>
        <v>35</v>
      </c>
    </row>
    <row r="10" spans="1:7">
      <c r="A10" s="73"/>
      <c r="B10" s="2" t="s">
        <v>86</v>
      </c>
      <c r="C10" s="3" t="str">
        <f t="shared" ca="1" si="2"/>
        <v>ALM9</v>
      </c>
      <c r="D10" s="47" t="str">
        <f t="shared" ca="1" si="0"/>
        <v>Linha2</v>
      </c>
      <c r="E10" s="4">
        <f t="shared" ca="1" si="1"/>
        <v>40</v>
      </c>
    </row>
    <row r="11" spans="1:7">
      <c r="A11" s="73"/>
      <c r="B11" s="2" t="s">
        <v>87</v>
      </c>
      <c r="C11" s="3" t="str">
        <f t="shared" ca="1" si="2"/>
        <v>ALM3</v>
      </c>
      <c r="D11" s="47" t="str">
        <f t="shared" ca="1" si="0"/>
        <v>Linha6</v>
      </c>
      <c r="E11" s="4">
        <f t="shared" ca="1" si="1"/>
        <v>40</v>
      </c>
    </row>
    <row r="12" spans="1:7">
      <c r="A12" s="73"/>
      <c r="B12" s="2" t="s">
        <v>88</v>
      </c>
      <c r="C12" s="3" t="str">
        <f t="shared" ca="1" si="2"/>
        <v>ALM3</v>
      </c>
      <c r="D12" s="47" t="str">
        <f t="shared" ca="1" si="0"/>
        <v>Linha4</v>
      </c>
      <c r="E12" s="4">
        <f t="shared" ca="1" si="1"/>
        <v>42</v>
      </c>
    </row>
    <row r="13" spans="1:7">
      <c r="A13" s="73"/>
      <c r="B13" s="2" t="s">
        <v>89</v>
      </c>
      <c r="C13" s="3" t="str">
        <f t="shared" ca="1" si="2"/>
        <v>ALM1</v>
      </c>
      <c r="D13" s="47" t="str">
        <f t="shared" ca="1" si="0"/>
        <v>Linha1</v>
      </c>
      <c r="E13" s="4">
        <f t="shared" ca="1" si="1"/>
        <v>43</v>
      </c>
    </row>
    <row r="14" spans="1:7">
      <c r="A14" s="73"/>
      <c r="B14" s="2" t="s">
        <v>90</v>
      </c>
      <c r="C14" s="3" t="str">
        <f t="shared" ca="1" si="2"/>
        <v>ALM3</v>
      </c>
      <c r="D14" s="47" t="str">
        <f t="shared" ca="1" si="0"/>
        <v>Linha5</v>
      </c>
      <c r="E14" s="4">
        <f t="shared" ca="1" si="1"/>
        <v>42</v>
      </c>
    </row>
    <row r="15" spans="1:7">
      <c r="A15" s="73"/>
      <c r="B15" s="2" t="s">
        <v>91</v>
      </c>
      <c r="C15" s="3" t="str">
        <f t="shared" ca="1" si="2"/>
        <v>ALM8</v>
      </c>
      <c r="D15" s="47" t="str">
        <f t="shared" ca="1" si="0"/>
        <v>Linha1</v>
      </c>
      <c r="E15" s="4">
        <f t="shared" ca="1" si="1"/>
        <v>42</v>
      </c>
    </row>
    <row r="16" spans="1:7">
      <c r="A16" s="73"/>
      <c r="B16" s="2" t="s">
        <v>92</v>
      </c>
      <c r="C16" s="3" t="str">
        <f t="shared" ca="1" si="2"/>
        <v>ALM6</v>
      </c>
      <c r="D16" s="47" t="str">
        <f t="shared" ca="1" si="0"/>
        <v>Linha1</v>
      </c>
      <c r="E16" s="4">
        <f t="shared" ca="1" si="1"/>
        <v>42</v>
      </c>
    </row>
    <row r="17" spans="1:5">
      <c r="A17" s="73"/>
      <c r="B17" s="2" t="s">
        <v>93</v>
      </c>
      <c r="C17" s="3" t="str">
        <f t="shared" ca="1" si="2"/>
        <v>ALM2</v>
      </c>
      <c r="D17" s="47" t="str">
        <f t="shared" ca="1" si="0"/>
        <v>Linha2</v>
      </c>
      <c r="E17" s="4">
        <f t="shared" ca="1" si="1"/>
        <v>35</v>
      </c>
    </row>
    <row r="18" spans="1:5">
      <c r="A18" s="73"/>
      <c r="B18" s="2" t="s">
        <v>82</v>
      </c>
      <c r="C18" s="3" t="str">
        <f t="shared" ca="1" si="2"/>
        <v>ALM3</v>
      </c>
      <c r="D18" s="47" t="str">
        <f t="shared" ca="1" si="0"/>
        <v>Linha5</v>
      </c>
      <c r="E18" s="4">
        <f t="shared" ca="1" si="1"/>
        <v>40</v>
      </c>
    </row>
    <row r="19" spans="1:5">
      <c r="A19" s="73"/>
      <c r="B19" s="2" t="s">
        <v>94</v>
      </c>
      <c r="C19" s="3" t="str">
        <f t="shared" ca="1" si="2"/>
        <v>ALM6</v>
      </c>
      <c r="D19" s="47" t="str">
        <f t="shared" ca="1" si="0"/>
        <v>Linha6</v>
      </c>
      <c r="E19" s="4">
        <f t="shared" ca="1" si="1"/>
        <v>41</v>
      </c>
    </row>
    <row r="20" spans="1:5">
      <c r="A20" s="73"/>
      <c r="B20" s="2" t="s">
        <v>95</v>
      </c>
      <c r="C20" s="3" t="str">
        <f t="shared" ca="1" si="2"/>
        <v>ALM2</v>
      </c>
      <c r="D20" s="47" t="str">
        <f t="shared" ca="1" si="0"/>
        <v>Linha2</v>
      </c>
      <c r="E20" s="4">
        <f t="shared" ca="1" si="1"/>
        <v>37</v>
      </c>
    </row>
    <row r="21" spans="1:5">
      <c r="A21" s="73"/>
      <c r="B21" s="2" t="s">
        <v>96</v>
      </c>
      <c r="C21" s="3" t="str">
        <f t="shared" ca="1" si="2"/>
        <v>ALM7</v>
      </c>
      <c r="D21" s="47" t="str">
        <f t="shared" ca="1" si="0"/>
        <v>Linha5</v>
      </c>
      <c r="E21" s="4">
        <f t="shared" ca="1" si="1"/>
        <v>42</v>
      </c>
    </row>
    <row r="22" spans="1:5">
      <c r="A22" s="73"/>
      <c r="B22" s="2" t="s">
        <v>97</v>
      </c>
      <c r="C22" s="3" t="str">
        <f t="shared" ca="1" si="2"/>
        <v>ALM3</v>
      </c>
      <c r="D22" s="47" t="str">
        <f t="shared" ca="1" si="0"/>
        <v>Linha3</v>
      </c>
      <c r="E22" s="4">
        <f t="shared" ca="1" si="1"/>
        <v>45</v>
      </c>
    </row>
  </sheetData>
  <dataConsolidate/>
  <phoneticPr fontId="26" type="noConversion"/>
  <dataValidations count="1">
    <dataValidation type="custom" allowBlank="1" showInputMessage="1" showErrorMessage="1" errorTitle="ITEM JÁ EXISTE" error="O item que você tentou adicionar já foi adicionado anteriormente." sqref="B7:B22" xr:uid="{00000000-0002-0000-0100-000000000000}">
      <formula1>COUNTIF(INDIRECT("PRODUTO[Item]"),$B7)&lt;2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G12"/>
  <sheetViews>
    <sheetView showGridLines="0" showRowColHeaders="0" tabSelected="1" workbookViewId="0">
      <pane ySplit="6" topLeftCell="A7" activePane="bottomLeft" state="frozen"/>
      <selection pane="bottomLeft"/>
    </sheetView>
  </sheetViews>
  <sheetFormatPr defaultRowHeight="14.5"/>
  <cols>
    <col min="1" max="1" width="2.90625" customWidth="1"/>
    <col min="2" max="2" width="26.08984375" customWidth="1"/>
    <col min="3" max="3" width="24.453125" customWidth="1"/>
    <col min="4" max="4" width="28.54296875" customWidth="1"/>
    <col min="5" max="5" width="29.08984375" customWidth="1"/>
    <col min="6" max="6" width="30.36328125" customWidth="1"/>
    <col min="7" max="7" width="24.453125" customWidth="1"/>
    <col min="8" max="8" width="19.6328125" customWidth="1"/>
  </cols>
  <sheetData>
    <row r="1" spans="1:7" s="23" customFormat="1" ht="39.75" customHeight="1">
      <c r="B1" s="24" t="s">
        <v>3</v>
      </c>
    </row>
    <row r="2" spans="1:7" s="1" customFormat="1" ht="3.75" customHeight="1"/>
    <row r="5" spans="1:7" ht="18.5">
      <c r="B5" s="7"/>
      <c r="C5" s="6"/>
      <c r="D5" s="6"/>
      <c r="E5" s="6"/>
      <c r="F5" s="6"/>
      <c r="G5" s="6"/>
    </row>
    <row r="6" spans="1:7" ht="35.25" customHeight="1">
      <c r="B6" s="64" t="s">
        <v>4</v>
      </c>
      <c r="C6" s="64" t="s">
        <v>5</v>
      </c>
      <c r="D6" s="64" t="s">
        <v>6</v>
      </c>
      <c r="E6" s="65" t="s">
        <v>7</v>
      </c>
      <c r="F6" s="65" t="s">
        <v>8</v>
      </c>
    </row>
    <row r="7" spans="1:7">
      <c r="A7" s="73"/>
      <c r="B7" s="2" t="s">
        <v>98</v>
      </c>
      <c r="C7" s="3" t="s">
        <v>104</v>
      </c>
      <c r="D7" s="10" t="str">
        <f>FORNECEDORES[[#This Row],[Empresa]]&amp;"@guilherme.com"</f>
        <v>Fornecdor1@guilherme.com</v>
      </c>
      <c r="E7" s="4" t="s">
        <v>38</v>
      </c>
      <c r="F7" s="4" t="s">
        <v>110</v>
      </c>
    </row>
    <row r="8" spans="1:7">
      <c r="A8" s="73"/>
      <c r="B8" s="2" t="s">
        <v>99</v>
      </c>
      <c r="C8" s="3" t="s">
        <v>105</v>
      </c>
      <c r="D8" s="10" t="str">
        <f>FORNECEDORES[[#This Row],[Empresa]]&amp;"@guilherme.com"</f>
        <v>Fornecdor2@guilherme.com</v>
      </c>
      <c r="E8" s="4" t="s">
        <v>43</v>
      </c>
      <c r="F8" s="4" t="s">
        <v>111</v>
      </c>
    </row>
    <row r="9" spans="1:7">
      <c r="A9" s="73"/>
      <c r="B9" s="2" t="s">
        <v>100</v>
      </c>
      <c r="C9" s="3" t="s">
        <v>106</v>
      </c>
      <c r="D9" s="10" t="str">
        <f>FORNECEDORES[[#This Row],[Empresa]]&amp;"@guilherme.com"</f>
        <v>Fornecdor3@guilherme.com</v>
      </c>
      <c r="E9" s="4" t="s">
        <v>45</v>
      </c>
      <c r="F9" s="4" t="s">
        <v>110</v>
      </c>
    </row>
    <row r="10" spans="1:7">
      <c r="A10" s="73"/>
      <c r="B10" s="2" t="s">
        <v>101</v>
      </c>
      <c r="C10" s="3" t="s">
        <v>107</v>
      </c>
      <c r="D10" s="10" t="str">
        <f>FORNECEDORES[[#This Row],[Empresa]]&amp;"@guilherme.com"</f>
        <v>Fornecdor4@guilherme.com</v>
      </c>
      <c r="E10" s="4" t="s">
        <v>57</v>
      </c>
      <c r="F10" s="4" t="s">
        <v>110</v>
      </c>
    </row>
    <row r="11" spans="1:7">
      <c r="A11" s="73"/>
      <c r="B11" s="2" t="s">
        <v>102</v>
      </c>
      <c r="C11" s="3" t="s">
        <v>108</v>
      </c>
      <c r="D11" s="10" t="str">
        <f>FORNECEDORES[[#This Row],[Empresa]]&amp;"@guilherme.com"</f>
        <v>Fornecdor5@guilherme.com</v>
      </c>
      <c r="E11" s="4" t="s">
        <v>57</v>
      </c>
      <c r="F11" s="4" t="s">
        <v>112</v>
      </c>
    </row>
    <row r="12" spans="1:7">
      <c r="A12" s="73"/>
      <c r="B12" s="2" t="s">
        <v>103</v>
      </c>
      <c r="C12" s="3" t="s">
        <v>109</v>
      </c>
      <c r="D12" s="10" t="str">
        <f>FORNECEDORES[[#This Row],[Empresa]]&amp;"@guilherme.com"</f>
        <v>Fornecdor6@guilherme.com</v>
      </c>
      <c r="E12" s="4" t="s">
        <v>57</v>
      </c>
      <c r="F12" s="4" t="s">
        <v>113</v>
      </c>
    </row>
  </sheetData>
  <phoneticPr fontId="26" type="noConversion"/>
  <dataValidations count="2">
    <dataValidation allowBlank="1" showInputMessage="1" showErrorMessage="1" promptTitle="Escolher Produto" prompt="Selecione na lista o produto a ser vendido, não é necessário digitar." sqref="C6" xr:uid="{00000000-0002-0000-0200-000000000000}"/>
    <dataValidation type="custom" allowBlank="1" showInputMessage="1" showErrorMessage="1" sqref="B7:B12" xr:uid="{00000000-0002-0000-0200-000001000000}">
      <formula1>COUNTIF(INDIRECT("FORNECEDORES[Empresa]"),$B7)&lt;2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Auxiliar!$C$6:$C$32</xm:f>
          </x14:formula1>
          <xm:sqref>E7:E12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J165"/>
  <sheetViews>
    <sheetView showGridLines="0" showRowColHeaders="0" workbookViewId="0">
      <pane ySplit="4" topLeftCell="A8" activePane="bottomLeft" state="frozen"/>
      <selection pane="bottomLeft"/>
    </sheetView>
  </sheetViews>
  <sheetFormatPr defaultRowHeight="14.5"/>
  <cols>
    <col min="1" max="1" width="2.90625" customWidth="1"/>
    <col min="2" max="2" width="18.54296875" style="59" customWidth="1"/>
    <col min="3" max="4" width="17.6328125" style="48" hidden="1" customWidth="1"/>
    <col min="5" max="5" width="24.453125" style="4" customWidth="1"/>
    <col min="6" max="6" width="28.54296875" style="4" customWidth="1"/>
    <col min="7" max="8" width="22.90625" customWidth="1"/>
    <col min="9" max="9" width="24.453125" customWidth="1"/>
    <col min="10" max="10" width="25.36328125" customWidth="1"/>
  </cols>
  <sheetData>
    <row r="1" spans="1:10" s="23" customFormat="1" ht="39.75" customHeight="1">
      <c r="A1" s="52"/>
      <c r="B1" s="53" t="s">
        <v>9</v>
      </c>
      <c r="C1" s="43"/>
      <c r="D1" s="43"/>
      <c r="E1" s="24"/>
    </row>
    <row r="2" spans="1:10" s="1" customFormat="1" ht="3.75" customHeight="1">
      <c r="B2" s="56"/>
      <c r="C2" s="44"/>
      <c r="D2" s="44"/>
    </row>
    <row r="3" spans="1:10" ht="18.5">
      <c r="B3" s="57"/>
      <c r="C3" s="45"/>
      <c r="D3" s="45"/>
      <c r="E3" s="6"/>
      <c r="F3" s="6"/>
      <c r="G3" s="6"/>
      <c r="H3" s="6"/>
      <c r="I3" s="6"/>
    </row>
    <row r="4" spans="1:10" ht="35.25" customHeight="1">
      <c r="B4" s="54" t="s">
        <v>10</v>
      </c>
      <c r="C4" s="46" t="s">
        <v>11</v>
      </c>
      <c r="D4" s="46" t="s">
        <v>12</v>
      </c>
      <c r="E4" s="37" t="s">
        <v>13</v>
      </c>
      <c r="F4" s="25" t="s">
        <v>14</v>
      </c>
      <c r="G4" s="41" t="s">
        <v>15</v>
      </c>
      <c r="H4" s="25" t="s">
        <v>16</v>
      </c>
      <c r="I4" s="26" t="s">
        <v>17</v>
      </c>
      <c r="J4" s="26" t="s">
        <v>18</v>
      </c>
    </row>
    <row r="5" spans="1:10">
      <c r="B5" s="59">
        <v>44197</v>
      </c>
      <c r="C5" s="62">
        <f>MONTH(ENTRADAS[[#This Row],[Data da Compra]])</f>
        <v>1</v>
      </c>
      <c r="D5" s="62">
        <f>YEAR(ENTRADAS[[#This Row],[Data da Compra]])</f>
        <v>2021</v>
      </c>
      <c r="E5" s="71" t="s">
        <v>95</v>
      </c>
      <c r="F5" s="71" t="s">
        <v>100</v>
      </c>
      <c r="G5" s="61">
        <v>3</v>
      </c>
      <c r="H5" s="63" t="str">
        <f t="shared" ref="H5:H36" ca="1" si="0">"NF"&amp;RANDBETWEEN(1,147)</f>
        <v>NF65</v>
      </c>
      <c r="I5" s="63" t="str">
        <f t="shared" ref="I5:I68" ca="1" si="1">"OC"&amp;RANDBETWEEN(1,147)</f>
        <v>OC78</v>
      </c>
      <c r="J5" s="61"/>
    </row>
    <row r="6" spans="1:10">
      <c r="B6" s="59">
        <v>44198</v>
      </c>
      <c r="C6" s="62">
        <f>MONTH(ENTRADAS[[#This Row],[Data da Compra]])</f>
        <v>1</v>
      </c>
      <c r="D6" s="62">
        <f>YEAR(ENTRADAS[[#This Row],[Data da Compra]])</f>
        <v>2021</v>
      </c>
      <c r="E6" s="71" t="s">
        <v>91</v>
      </c>
      <c r="F6" s="4" t="s">
        <v>103</v>
      </c>
      <c r="G6" s="61">
        <v>5</v>
      </c>
      <c r="H6" s="63" t="str">
        <f t="shared" ca="1" si="0"/>
        <v>NF118</v>
      </c>
      <c r="I6" s="63" t="str">
        <f t="shared" ca="1" si="1"/>
        <v>OC39</v>
      </c>
      <c r="J6" s="61"/>
    </row>
    <row r="7" spans="1:10">
      <c r="B7" s="59">
        <v>44199</v>
      </c>
      <c r="C7" s="62">
        <f>MONTH(ENTRADAS[[#This Row],[Data da Compra]])</f>
        <v>1</v>
      </c>
      <c r="D7" s="62">
        <f>YEAR(ENTRADAS[[#This Row],[Data da Compra]])</f>
        <v>2021</v>
      </c>
      <c r="E7" s="71" t="s">
        <v>83</v>
      </c>
      <c r="F7" s="4" t="s">
        <v>99</v>
      </c>
      <c r="G7" s="61">
        <v>2</v>
      </c>
      <c r="H7" s="63" t="str">
        <f t="shared" ca="1" si="0"/>
        <v>NF141</v>
      </c>
      <c r="I7" s="63" t="str">
        <f t="shared" ca="1" si="1"/>
        <v>OC136</v>
      </c>
      <c r="J7" s="61"/>
    </row>
    <row r="8" spans="1:10">
      <c r="B8" s="59">
        <v>44200</v>
      </c>
      <c r="C8" s="62">
        <f>MONTH(ENTRADAS[[#This Row],[Data da Compra]])</f>
        <v>1</v>
      </c>
      <c r="D8" s="62">
        <f>YEAR(ENTRADAS[[#This Row],[Data da Compra]])</f>
        <v>2021</v>
      </c>
      <c r="E8" s="71" t="s">
        <v>86</v>
      </c>
      <c r="F8" s="4" t="s">
        <v>99</v>
      </c>
      <c r="G8" s="61">
        <v>8</v>
      </c>
      <c r="H8" s="63" t="str">
        <f t="shared" ca="1" si="0"/>
        <v>NF47</v>
      </c>
      <c r="I8" s="63" t="str">
        <f t="shared" ca="1" si="1"/>
        <v>OC17</v>
      </c>
      <c r="J8" s="61"/>
    </row>
    <row r="9" spans="1:10">
      <c r="B9" s="59">
        <v>44201</v>
      </c>
      <c r="C9" s="62">
        <f>MONTH(ENTRADAS[[#This Row],[Data da Compra]])</f>
        <v>1</v>
      </c>
      <c r="D9" s="62">
        <f>YEAR(ENTRADAS[[#This Row],[Data da Compra]])</f>
        <v>2021</v>
      </c>
      <c r="E9" s="71" t="s">
        <v>89</v>
      </c>
      <c r="F9" s="4" t="s">
        <v>100</v>
      </c>
      <c r="G9" s="61">
        <v>27</v>
      </c>
      <c r="H9" s="63" t="str">
        <f t="shared" ca="1" si="0"/>
        <v>NF28</v>
      </c>
      <c r="I9" s="63" t="str">
        <f t="shared" ca="1" si="1"/>
        <v>OC119</v>
      </c>
      <c r="J9" s="61"/>
    </row>
    <row r="10" spans="1:10">
      <c r="B10" s="59">
        <v>44202</v>
      </c>
      <c r="C10" s="62">
        <f>MONTH(ENTRADAS[[#This Row],[Data da Compra]])</f>
        <v>1</v>
      </c>
      <c r="D10" s="62">
        <f>YEAR(ENTRADAS[[#This Row],[Data da Compra]])</f>
        <v>2021</v>
      </c>
      <c r="E10" s="71" t="s">
        <v>88</v>
      </c>
      <c r="F10" s="4" t="s">
        <v>103</v>
      </c>
      <c r="G10" s="61">
        <v>15</v>
      </c>
      <c r="H10" s="63" t="str">
        <f t="shared" ca="1" si="0"/>
        <v>NF69</v>
      </c>
      <c r="I10" s="63" t="str">
        <f t="shared" ca="1" si="1"/>
        <v>OC88</v>
      </c>
      <c r="J10" s="61"/>
    </row>
    <row r="11" spans="1:10">
      <c r="B11" s="59">
        <v>44203</v>
      </c>
      <c r="C11" s="62">
        <f>MONTH(ENTRADAS[[#This Row],[Data da Compra]])</f>
        <v>1</v>
      </c>
      <c r="D11" s="62">
        <f>YEAR(ENTRADAS[[#This Row],[Data da Compra]])</f>
        <v>2021</v>
      </c>
      <c r="E11" s="71" t="s">
        <v>85</v>
      </c>
      <c r="F11" s="4" t="s">
        <v>103</v>
      </c>
      <c r="G11" s="61">
        <v>34</v>
      </c>
      <c r="H11" s="63" t="str">
        <f t="shared" ca="1" si="0"/>
        <v>NF51</v>
      </c>
      <c r="I11" s="63" t="str">
        <f t="shared" ca="1" si="1"/>
        <v>OC96</v>
      </c>
      <c r="J11" s="61"/>
    </row>
    <row r="12" spans="1:10">
      <c r="B12" s="59">
        <v>44204</v>
      </c>
      <c r="C12" s="62">
        <f>MONTH(ENTRADAS[[#This Row],[Data da Compra]])</f>
        <v>1</v>
      </c>
      <c r="D12" s="62">
        <f>YEAR(ENTRADAS[[#This Row],[Data da Compra]])</f>
        <v>2021</v>
      </c>
      <c r="E12" s="71" t="s">
        <v>92</v>
      </c>
      <c r="F12" s="4" t="s">
        <v>100</v>
      </c>
      <c r="G12" s="61">
        <v>26</v>
      </c>
      <c r="H12" s="63" t="str">
        <f t="shared" ca="1" si="0"/>
        <v>NF60</v>
      </c>
      <c r="I12" s="63" t="str">
        <f t="shared" ca="1" si="1"/>
        <v>OC22</v>
      </c>
      <c r="J12" s="61"/>
    </row>
    <row r="13" spans="1:10">
      <c r="B13" s="59">
        <v>44205</v>
      </c>
      <c r="C13" s="62">
        <f>MONTH(ENTRADAS[[#This Row],[Data da Compra]])</f>
        <v>1</v>
      </c>
      <c r="D13" s="62">
        <f>YEAR(ENTRADAS[[#This Row],[Data da Compra]])</f>
        <v>2021</v>
      </c>
      <c r="E13" s="71" t="s">
        <v>90</v>
      </c>
      <c r="F13" s="4" t="s">
        <v>100</v>
      </c>
      <c r="G13" s="61">
        <v>21</v>
      </c>
      <c r="H13" s="63" t="str">
        <f t="shared" ca="1" si="0"/>
        <v>NF8</v>
      </c>
      <c r="I13" s="63" t="str">
        <f t="shared" ca="1" si="1"/>
        <v>OC17</v>
      </c>
      <c r="J13" s="61"/>
    </row>
    <row r="14" spans="1:10">
      <c r="B14" s="59">
        <v>44206</v>
      </c>
      <c r="C14" s="62">
        <f>MONTH(ENTRADAS[[#This Row],[Data da Compra]])</f>
        <v>1</v>
      </c>
      <c r="D14" s="62">
        <f>YEAR(ENTRADAS[[#This Row],[Data da Compra]])</f>
        <v>2021</v>
      </c>
      <c r="E14" s="71" t="s">
        <v>89</v>
      </c>
      <c r="F14" s="4" t="s">
        <v>98</v>
      </c>
      <c r="G14" s="61">
        <v>13</v>
      </c>
      <c r="H14" s="63" t="str">
        <f t="shared" ca="1" si="0"/>
        <v>NF79</v>
      </c>
      <c r="I14" s="63" t="str">
        <f t="shared" ca="1" si="1"/>
        <v>OC144</v>
      </c>
      <c r="J14" s="61"/>
    </row>
    <row r="15" spans="1:10">
      <c r="B15" s="59">
        <v>44207</v>
      </c>
      <c r="C15" s="62">
        <f>MONTH(ENTRADAS[[#This Row],[Data da Compra]])</f>
        <v>1</v>
      </c>
      <c r="D15" s="62">
        <f>YEAR(ENTRADAS[[#This Row],[Data da Compra]])</f>
        <v>2021</v>
      </c>
      <c r="E15" s="71" t="s">
        <v>94</v>
      </c>
      <c r="F15" s="4" t="s">
        <v>102</v>
      </c>
      <c r="G15" s="61">
        <v>22</v>
      </c>
      <c r="H15" s="63" t="str">
        <f t="shared" ca="1" si="0"/>
        <v>NF10</v>
      </c>
      <c r="I15" s="63" t="str">
        <f t="shared" ca="1" si="1"/>
        <v>OC5</v>
      </c>
      <c r="J15" s="61"/>
    </row>
    <row r="16" spans="1:10">
      <c r="B16" s="59">
        <v>44208</v>
      </c>
      <c r="C16" s="62">
        <f>MONTH(ENTRADAS[[#This Row],[Data da Compra]])</f>
        <v>1</v>
      </c>
      <c r="D16" s="62">
        <f>YEAR(ENTRADAS[[#This Row],[Data da Compra]])</f>
        <v>2021</v>
      </c>
      <c r="E16" s="71" t="s">
        <v>96</v>
      </c>
      <c r="F16" s="4" t="s">
        <v>102</v>
      </c>
      <c r="G16" s="61">
        <v>38</v>
      </c>
      <c r="H16" s="63" t="str">
        <f t="shared" ca="1" si="0"/>
        <v>NF35</v>
      </c>
      <c r="I16" s="63" t="str">
        <f t="shared" ca="1" si="1"/>
        <v>OC118</v>
      </c>
      <c r="J16" s="61"/>
    </row>
    <row r="17" spans="2:10">
      <c r="B17" s="59">
        <v>44209</v>
      </c>
      <c r="C17" s="62">
        <f>MONTH(ENTRADAS[[#This Row],[Data da Compra]])</f>
        <v>1</v>
      </c>
      <c r="D17" s="62">
        <f>YEAR(ENTRADAS[[#This Row],[Data da Compra]])</f>
        <v>2021</v>
      </c>
      <c r="E17" s="71" t="s">
        <v>95</v>
      </c>
      <c r="F17" s="4" t="s">
        <v>103</v>
      </c>
      <c r="G17" s="61">
        <v>25</v>
      </c>
      <c r="H17" s="63" t="str">
        <f t="shared" ca="1" si="0"/>
        <v>NF93</v>
      </c>
      <c r="I17" s="63" t="str">
        <f t="shared" ca="1" si="1"/>
        <v>OC102</v>
      </c>
      <c r="J17" s="61"/>
    </row>
    <row r="18" spans="2:10">
      <c r="B18" s="59">
        <v>44210</v>
      </c>
      <c r="C18" s="62">
        <f>MONTH(ENTRADAS[[#This Row],[Data da Compra]])</f>
        <v>1</v>
      </c>
      <c r="D18" s="62">
        <f>YEAR(ENTRADAS[[#This Row],[Data da Compra]])</f>
        <v>2021</v>
      </c>
      <c r="E18" s="71" t="s">
        <v>90</v>
      </c>
      <c r="F18" s="4" t="s">
        <v>103</v>
      </c>
      <c r="G18" s="61">
        <v>12</v>
      </c>
      <c r="H18" s="63" t="str">
        <f t="shared" ca="1" si="0"/>
        <v>NF133</v>
      </c>
      <c r="I18" s="63" t="str">
        <f t="shared" ca="1" si="1"/>
        <v>OC10</v>
      </c>
      <c r="J18" s="61"/>
    </row>
    <row r="19" spans="2:10">
      <c r="B19" s="59">
        <v>44211</v>
      </c>
      <c r="C19" s="62">
        <f>MONTH(ENTRADAS[[#This Row],[Data da Compra]])</f>
        <v>1</v>
      </c>
      <c r="D19" s="62">
        <f>YEAR(ENTRADAS[[#This Row],[Data da Compra]])</f>
        <v>2021</v>
      </c>
      <c r="E19" s="71" t="s">
        <v>95</v>
      </c>
      <c r="F19" s="4" t="s">
        <v>101</v>
      </c>
      <c r="G19" s="61">
        <v>39</v>
      </c>
      <c r="H19" s="63" t="str">
        <f t="shared" ca="1" si="0"/>
        <v>NF29</v>
      </c>
      <c r="I19" s="63" t="str">
        <f t="shared" ca="1" si="1"/>
        <v>OC22</v>
      </c>
      <c r="J19" s="61"/>
    </row>
    <row r="20" spans="2:10">
      <c r="B20" s="59">
        <v>44212</v>
      </c>
      <c r="C20" s="62">
        <f>MONTH(ENTRADAS[[#This Row],[Data da Compra]])</f>
        <v>1</v>
      </c>
      <c r="D20" s="62">
        <f>YEAR(ENTRADAS[[#This Row],[Data da Compra]])</f>
        <v>2021</v>
      </c>
      <c r="E20" s="71" t="s">
        <v>89</v>
      </c>
      <c r="F20" s="4" t="s">
        <v>98</v>
      </c>
      <c r="G20" s="61">
        <v>4</v>
      </c>
      <c r="H20" s="63" t="str">
        <f t="shared" ca="1" si="0"/>
        <v>NF54</v>
      </c>
      <c r="I20" s="63" t="str">
        <f t="shared" ca="1" si="1"/>
        <v>OC65</v>
      </c>
      <c r="J20" s="61"/>
    </row>
    <row r="21" spans="2:10">
      <c r="B21" s="59">
        <v>44213</v>
      </c>
      <c r="C21" s="62">
        <f>MONTH(ENTRADAS[[#This Row],[Data da Compra]])</f>
        <v>1</v>
      </c>
      <c r="D21" s="62">
        <f>YEAR(ENTRADAS[[#This Row],[Data da Compra]])</f>
        <v>2021</v>
      </c>
      <c r="E21" s="71" t="s">
        <v>97</v>
      </c>
      <c r="F21" s="4" t="s">
        <v>98</v>
      </c>
      <c r="G21" s="61">
        <v>7</v>
      </c>
      <c r="H21" s="63" t="str">
        <f t="shared" ca="1" si="0"/>
        <v>NF141</v>
      </c>
      <c r="I21" s="63" t="str">
        <f t="shared" ca="1" si="1"/>
        <v>OC40</v>
      </c>
      <c r="J21" s="61"/>
    </row>
    <row r="22" spans="2:10">
      <c r="B22" s="59">
        <v>44214</v>
      </c>
      <c r="C22" s="62">
        <f>MONTH(ENTRADAS[[#This Row],[Data da Compra]])</f>
        <v>1</v>
      </c>
      <c r="D22" s="62">
        <f>YEAR(ENTRADAS[[#This Row],[Data da Compra]])</f>
        <v>2021</v>
      </c>
      <c r="E22" s="71" t="s">
        <v>90</v>
      </c>
      <c r="F22" s="4" t="s">
        <v>102</v>
      </c>
      <c r="G22" s="61">
        <v>16</v>
      </c>
      <c r="H22" s="63" t="str">
        <f t="shared" ca="1" si="0"/>
        <v>NF28</v>
      </c>
      <c r="I22" s="63" t="str">
        <f t="shared" ca="1" si="1"/>
        <v>OC20</v>
      </c>
      <c r="J22" s="61"/>
    </row>
    <row r="23" spans="2:10">
      <c r="B23" s="59">
        <v>44215</v>
      </c>
      <c r="C23" s="62">
        <f>MONTH(ENTRADAS[[#This Row],[Data da Compra]])</f>
        <v>1</v>
      </c>
      <c r="D23" s="62">
        <f>YEAR(ENTRADAS[[#This Row],[Data da Compra]])</f>
        <v>2021</v>
      </c>
      <c r="E23" s="71" t="s">
        <v>89</v>
      </c>
      <c r="F23" s="4" t="s">
        <v>99</v>
      </c>
      <c r="G23" s="61">
        <v>1</v>
      </c>
      <c r="H23" s="63" t="str">
        <f t="shared" ca="1" si="0"/>
        <v>NF66</v>
      </c>
      <c r="I23" s="63" t="str">
        <f t="shared" ca="1" si="1"/>
        <v>OC86</v>
      </c>
      <c r="J23" s="61"/>
    </row>
    <row r="24" spans="2:10">
      <c r="B24" s="59">
        <v>44216</v>
      </c>
      <c r="C24" s="62">
        <f>MONTH(ENTRADAS[[#This Row],[Data da Compra]])</f>
        <v>1</v>
      </c>
      <c r="D24" s="62">
        <f>YEAR(ENTRADAS[[#This Row],[Data da Compra]])</f>
        <v>2021</v>
      </c>
      <c r="E24" s="71" t="s">
        <v>88</v>
      </c>
      <c r="F24" s="4" t="s">
        <v>102</v>
      </c>
      <c r="G24" s="61">
        <v>4</v>
      </c>
      <c r="H24" s="63" t="str">
        <f t="shared" ca="1" si="0"/>
        <v>NF34</v>
      </c>
      <c r="I24" s="63" t="str">
        <f t="shared" ca="1" si="1"/>
        <v>OC119</v>
      </c>
      <c r="J24" s="61"/>
    </row>
    <row r="25" spans="2:10">
      <c r="B25" s="59">
        <v>44217</v>
      </c>
      <c r="C25" s="62">
        <f>MONTH(ENTRADAS[[#This Row],[Data da Compra]])</f>
        <v>1</v>
      </c>
      <c r="D25" s="62">
        <f>YEAR(ENTRADAS[[#This Row],[Data da Compra]])</f>
        <v>2021</v>
      </c>
      <c r="E25" s="71" t="s">
        <v>89</v>
      </c>
      <c r="F25" s="4" t="s">
        <v>103</v>
      </c>
      <c r="G25" s="61">
        <v>36</v>
      </c>
      <c r="H25" s="63" t="str">
        <f t="shared" ca="1" si="0"/>
        <v>NF77</v>
      </c>
      <c r="I25" s="63" t="str">
        <f t="shared" ca="1" si="1"/>
        <v>OC40</v>
      </c>
      <c r="J25" s="61"/>
    </row>
    <row r="26" spans="2:10">
      <c r="B26" s="59">
        <v>44218</v>
      </c>
      <c r="C26" s="62">
        <f>MONTH(ENTRADAS[[#This Row],[Data da Compra]])</f>
        <v>1</v>
      </c>
      <c r="D26" s="62">
        <f>YEAR(ENTRADAS[[#This Row],[Data da Compra]])</f>
        <v>2021</v>
      </c>
      <c r="E26" s="71" t="s">
        <v>85</v>
      </c>
      <c r="F26" s="4" t="s">
        <v>102</v>
      </c>
      <c r="G26" s="61">
        <v>21</v>
      </c>
      <c r="H26" s="63" t="str">
        <f t="shared" ca="1" si="0"/>
        <v>NF91</v>
      </c>
      <c r="I26" s="63" t="str">
        <f t="shared" ca="1" si="1"/>
        <v>OC25</v>
      </c>
      <c r="J26" s="61"/>
    </row>
    <row r="27" spans="2:10">
      <c r="B27" s="59">
        <v>44219</v>
      </c>
      <c r="C27" s="62">
        <f>MONTH(ENTRADAS[[#This Row],[Data da Compra]])</f>
        <v>1</v>
      </c>
      <c r="D27" s="62">
        <f>YEAR(ENTRADAS[[#This Row],[Data da Compra]])</f>
        <v>2021</v>
      </c>
      <c r="E27" s="71" t="s">
        <v>93</v>
      </c>
      <c r="F27" s="4" t="s">
        <v>99</v>
      </c>
      <c r="G27" s="61">
        <v>12</v>
      </c>
      <c r="H27" s="63" t="str">
        <f t="shared" ca="1" si="0"/>
        <v>NF48</v>
      </c>
      <c r="I27" s="63" t="str">
        <f t="shared" ca="1" si="1"/>
        <v>OC121</v>
      </c>
      <c r="J27" s="61"/>
    </row>
    <row r="28" spans="2:10">
      <c r="B28" s="59">
        <v>44220</v>
      </c>
      <c r="C28" s="62">
        <f>MONTH(ENTRADAS[[#This Row],[Data da Compra]])</f>
        <v>1</v>
      </c>
      <c r="D28" s="62">
        <f>YEAR(ENTRADAS[[#This Row],[Data da Compra]])</f>
        <v>2021</v>
      </c>
      <c r="E28" s="71" t="s">
        <v>87</v>
      </c>
      <c r="F28" s="4" t="s">
        <v>100</v>
      </c>
      <c r="G28" s="61">
        <v>10</v>
      </c>
      <c r="H28" s="63" t="str">
        <f t="shared" ca="1" si="0"/>
        <v>NF97</v>
      </c>
      <c r="I28" s="63" t="str">
        <f t="shared" ca="1" si="1"/>
        <v>OC72</v>
      </c>
      <c r="J28" s="61"/>
    </row>
    <row r="29" spans="2:10">
      <c r="B29" s="59">
        <v>44221</v>
      </c>
      <c r="C29" s="62">
        <f>MONTH(ENTRADAS[[#This Row],[Data da Compra]])</f>
        <v>1</v>
      </c>
      <c r="D29" s="62">
        <f>YEAR(ENTRADAS[[#This Row],[Data da Compra]])</f>
        <v>2021</v>
      </c>
      <c r="E29" s="71" t="s">
        <v>95</v>
      </c>
      <c r="F29" s="4" t="s">
        <v>99</v>
      </c>
      <c r="G29" s="61">
        <v>33</v>
      </c>
      <c r="H29" s="63" t="str">
        <f t="shared" ca="1" si="0"/>
        <v>NF5</v>
      </c>
      <c r="I29" s="63" t="str">
        <f t="shared" ca="1" si="1"/>
        <v>OC46</v>
      </c>
      <c r="J29" s="61"/>
    </row>
    <row r="30" spans="2:10">
      <c r="B30" s="59">
        <v>44222</v>
      </c>
      <c r="C30" s="62">
        <f>MONTH(ENTRADAS[[#This Row],[Data da Compra]])</f>
        <v>1</v>
      </c>
      <c r="D30" s="62">
        <f>YEAR(ENTRADAS[[#This Row],[Data da Compra]])</f>
        <v>2021</v>
      </c>
      <c r="E30" s="71" t="s">
        <v>87</v>
      </c>
      <c r="F30" s="4" t="s">
        <v>100</v>
      </c>
      <c r="G30" s="61">
        <v>31</v>
      </c>
      <c r="H30" s="63" t="str">
        <f t="shared" ca="1" si="0"/>
        <v>NF147</v>
      </c>
      <c r="I30" s="63" t="str">
        <f t="shared" ca="1" si="1"/>
        <v>OC30</v>
      </c>
      <c r="J30" s="61"/>
    </row>
    <row r="31" spans="2:10">
      <c r="B31" s="59">
        <v>44223</v>
      </c>
      <c r="C31" s="62">
        <f>MONTH(ENTRADAS[[#This Row],[Data da Compra]])</f>
        <v>1</v>
      </c>
      <c r="D31" s="62">
        <f>YEAR(ENTRADAS[[#This Row],[Data da Compra]])</f>
        <v>2021</v>
      </c>
      <c r="E31" s="71" t="s">
        <v>87</v>
      </c>
      <c r="F31" s="4" t="s">
        <v>99</v>
      </c>
      <c r="G31" s="61">
        <v>12</v>
      </c>
      <c r="H31" s="63" t="str">
        <f t="shared" ca="1" si="0"/>
        <v>NF146</v>
      </c>
      <c r="I31" s="63" t="str">
        <f t="shared" ca="1" si="1"/>
        <v>OC42</v>
      </c>
      <c r="J31" s="61"/>
    </row>
    <row r="32" spans="2:10">
      <c r="B32" s="59">
        <v>44224</v>
      </c>
      <c r="C32" s="62">
        <f>MONTH(ENTRADAS[[#This Row],[Data da Compra]])</f>
        <v>1</v>
      </c>
      <c r="D32" s="62">
        <f>YEAR(ENTRADAS[[#This Row],[Data da Compra]])</f>
        <v>2021</v>
      </c>
      <c r="E32" s="71" t="s">
        <v>88</v>
      </c>
      <c r="F32" s="4" t="s">
        <v>100</v>
      </c>
      <c r="G32" s="61">
        <v>11</v>
      </c>
      <c r="H32" s="63" t="str">
        <f t="shared" ca="1" si="0"/>
        <v>NF66</v>
      </c>
      <c r="I32" s="63" t="str">
        <f t="shared" ca="1" si="1"/>
        <v>OC114</v>
      </c>
      <c r="J32" s="61"/>
    </row>
    <row r="33" spans="2:10">
      <c r="B33" s="59">
        <v>44225</v>
      </c>
      <c r="C33" s="62">
        <f>MONTH(ENTRADAS[[#This Row],[Data da Compra]])</f>
        <v>1</v>
      </c>
      <c r="D33" s="62">
        <f>YEAR(ENTRADAS[[#This Row],[Data da Compra]])</f>
        <v>2021</v>
      </c>
      <c r="E33" s="71" t="s">
        <v>93</v>
      </c>
      <c r="F33" s="4" t="s">
        <v>99</v>
      </c>
      <c r="G33" s="61">
        <v>24</v>
      </c>
      <c r="H33" s="63" t="str">
        <f t="shared" ca="1" si="0"/>
        <v>NF58</v>
      </c>
      <c r="I33" s="63" t="str">
        <f t="shared" ca="1" si="1"/>
        <v>OC43</v>
      </c>
      <c r="J33" s="61"/>
    </row>
    <row r="34" spans="2:10">
      <c r="B34" s="59">
        <v>44226</v>
      </c>
      <c r="C34" s="62">
        <f>MONTH(ENTRADAS[[#This Row],[Data da Compra]])</f>
        <v>1</v>
      </c>
      <c r="D34" s="62">
        <f>YEAR(ENTRADAS[[#This Row],[Data da Compra]])</f>
        <v>2021</v>
      </c>
      <c r="E34" s="71" t="s">
        <v>92</v>
      </c>
      <c r="F34" s="4" t="s">
        <v>99</v>
      </c>
      <c r="G34" s="61">
        <v>17</v>
      </c>
      <c r="H34" s="63" t="str">
        <f t="shared" ca="1" si="0"/>
        <v>NF18</v>
      </c>
      <c r="I34" s="63" t="str">
        <f t="shared" ca="1" si="1"/>
        <v>OC64</v>
      </c>
      <c r="J34" s="61"/>
    </row>
    <row r="35" spans="2:10">
      <c r="B35" s="59">
        <v>44227</v>
      </c>
      <c r="C35" s="62">
        <f>MONTH(ENTRADAS[[#This Row],[Data da Compra]])</f>
        <v>1</v>
      </c>
      <c r="D35" s="62">
        <f>YEAR(ENTRADAS[[#This Row],[Data da Compra]])</f>
        <v>2021</v>
      </c>
      <c r="E35" s="71" t="s">
        <v>86</v>
      </c>
      <c r="F35" s="4" t="s">
        <v>99</v>
      </c>
      <c r="G35" s="61">
        <v>3</v>
      </c>
      <c r="H35" s="63" t="str">
        <f t="shared" ca="1" si="0"/>
        <v>NF68</v>
      </c>
      <c r="I35" s="63" t="str">
        <f t="shared" ca="1" si="1"/>
        <v>OC121</v>
      </c>
      <c r="J35" s="61"/>
    </row>
    <row r="36" spans="2:10">
      <c r="B36" s="59">
        <v>44228</v>
      </c>
      <c r="C36" s="62">
        <f>MONTH(ENTRADAS[[#This Row],[Data da Compra]])</f>
        <v>2</v>
      </c>
      <c r="D36" s="62">
        <f>YEAR(ENTRADAS[[#This Row],[Data da Compra]])</f>
        <v>2021</v>
      </c>
      <c r="E36" s="71" t="s">
        <v>97</v>
      </c>
      <c r="F36" s="4" t="s">
        <v>100</v>
      </c>
      <c r="G36" s="61">
        <v>2</v>
      </c>
      <c r="H36" s="63" t="str">
        <f t="shared" ca="1" si="0"/>
        <v>NF58</v>
      </c>
      <c r="I36" s="63" t="str">
        <f t="shared" ca="1" si="1"/>
        <v>OC80</v>
      </c>
      <c r="J36" s="61"/>
    </row>
    <row r="37" spans="2:10">
      <c r="B37" s="59">
        <v>44229</v>
      </c>
      <c r="C37" s="62">
        <f>MONTH(ENTRADAS[[#This Row],[Data da Compra]])</f>
        <v>2</v>
      </c>
      <c r="D37" s="62">
        <f>YEAR(ENTRADAS[[#This Row],[Data da Compra]])</f>
        <v>2021</v>
      </c>
      <c r="E37" s="71" t="s">
        <v>93</v>
      </c>
      <c r="F37" s="4" t="s">
        <v>103</v>
      </c>
      <c r="G37" s="61">
        <v>2</v>
      </c>
      <c r="H37" s="63" t="str">
        <f t="shared" ref="H37:H68" ca="1" si="2">"NF"&amp;RANDBETWEEN(1,147)</f>
        <v>NF12</v>
      </c>
      <c r="I37" s="63" t="str">
        <f t="shared" ca="1" si="1"/>
        <v>OC115</v>
      </c>
      <c r="J37" s="61"/>
    </row>
    <row r="38" spans="2:10">
      <c r="B38" s="59">
        <v>44230</v>
      </c>
      <c r="C38" s="62">
        <f>MONTH(ENTRADAS[[#This Row],[Data da Compra]])</f>
        <v>2</v>
      </c>
      <c r="D38" s="62">
        <f>YEAR(ENTRADAS[[#This Row],[Data da Compra]])</f>
        <v>2021</v>
      </c>
      <c r="E38" s="71" t="s">
        <v>89</v>
      </c>
      <c r="F38" s="4" t="s">
        <v>98</v>
      </c>
      <c r="G38" s="61">
        <v>8</v>
      </c>
      <c r="H38" s="63" t="str">
        <f t="shared" ca="1" si="2"/>
        <v>NF38</v>
      </c>
      <c r="I38" s="63" t="str">
        <f t="shared" ca="1" si="1"/>
        <v>OC127</v>
      </c>
      <c r="J38" s="61"/>
    </row>
    <row r="39" spans="2:10">
      <c r="B39" s="59">
        <v>44231</v>
      </c>
      <c r="C39" s="62">
        <f>MONTH(ENTRADAS[[#This Row],[Data da Compra]])</f>
        <v>2</v>
      </c>
      <c r="D39" s="62">
        <f>YEAR(ENTRADAS[[#This Row],[Data da Compra]])</f>
        <v>2021</v>
      </c>
      <c r="E39" s="71" t="s">
        <v>83</v>
      </c>
      <c r="F39" s="4" t="s">
        <v>102</v>
      </c>
      <c r="G39" s="61">
        <v>2</v>
      </c>
      <c r="H39" s="63" t="str">
        <f t="shared" ca="1" si="2"/>
        <v>NF51</v>
      </c>
      <c r="I39" s="63" t="str">
        <f t="shared" ca="1" si="1"/>
        <v>OC139</v>
      </c>
      <c r="J39" s="61"/>
    </row>
    <row r="40" spans="2:10">
      <c r="B40" s="59">
        <v>44232</v>
      </c>
      <c r="C40" s="62">
        <f>MONTH(ENTRADAS[[#This Row],[Data da Compra]])</f>
        <v>2</v>
      </c>
      <c r="D40" s="62">
        <f>YEAR(ENTRADAS[[#This Row],[Data da Compra]])</f>
        <v>2021</v>
      </c>
      <c r="E40" s="71" t="s">
        <v>94</v>
      </c>
      <c r="F40" s="4" t="s">
        <v>101</v>
      </c>
      <c r="G40" s="61">
        <v>35</v>
      </c>
      <c r="H40" s="63" t="str">
        <f t="shared" ca="1" si="2"/>
        <v>NF76</v>
      </c>
      <c r="I40" s="63" t="str">
        <f t="shared" ca="1" si="1"/>
        <v>OC126</v>
      </c>
      <c r="J40" s="61"/>
    </row>
    <row r="41" spans="2:10">
      <c r="B41" s="59">
        <v>44233</v>
      </c>
      <c r="C41" s="62">
        <f>MONTH(ENTRADAS[[#This Row],[Data da Compra]])</f>
        <v>2</v>
      </c>
      <c r="D41" s="62">
        <f>YEAR(ENTRADAS[[#This Row],[Data da Compra]])</f>
        <v>2021</v>
      </c>
      <c r="E41" s="71" t="s">
        <v>86</v>
      </c>
      <c r="F41" s="4" t="s">
        <v>102</v>
      </c>
      <c r="G41" s="61">
        <v>35</v>
      </c>
      <c r="H41" s="63" t="str">
        <f t="shared" ca="1" si="2"/>
        <v>NF2</v>
      </c>
      <c r="I41" s="63" t="str">
        <f t="shared" ca="1" si="1"/>
        <v>OC108</v>
      </c>
      <c r="J41" s="61"/>
    </row>
    <row r="42" spans="2:10">
      <c r="B42" s="59">
        <v>44234</v>
      </c>
      <c r="C42" s="62">
        <f>MONTH(ENTRADAS[[#This Row],[Data da Compra]])</f>
        <v>2</v>
      </c>
      <c r="D42" s="62">
        <f>YEAR(ENTRADAS[[#This Row],[Data da Compra]])</f>
        <v>2021</v>
      </c>
      <c r="E42" s="71" t="s">
        <v>90</v>
      </c>
      <c r="F42" s="4" t="s">
        <v>100</v>
      </c>
      <c r="G42" s="61">
        <v>41</v>
      </c>
      <c r="H42" s="63" t="str">
        <f t="shared" ca="1" si="2"/>
        <v>NF38</v>
      </c>
      <c r="I42" s="63" t="str">
        <f t="shared" ca="1" si="1"/>
        <v>OC1</v>
      </c>
      <c r="J42" s="61"/>
    </row>
    <row r="43" spans="2:10">
      <c r="B43" s="59">
        <v>44235</v>
      </c>
      <c r="C43" s="62">
        <f>MONTH(ENTRADAS[[#This Row],[Data da Compra]])</f>
        <v>2</v>
      </c>
      <c r="D43" s="62">
        <f>YEAR(ENTRADAS[[#This Row],[Data da Compra]])</f>
        <v>2021</v>
      </c>
      <c r="E43" s="71" t="s">
        <v>90</v>
      </c>
      <c r="F43" s="4" t="s">
        <v>101</v>
      </c>
      <c r="G43" s="61">
        <v>9</v>
      </c>
      <c r="H43" s="63" t="str">
        <f t="shared" ca="1" si="2"/>
        <v>NF7</v>
      </c>
      <c r="I43" s="63" t="str">
        <f t="shared" ca="1" si="1"/>
        <v>OC13</v>
      </c>
      <c r="J43" s="61"/>
    </row>
    <row r="44" spans="2:10">
      <c r="B44" s="59">
        <v>44236</v>
      </c>
      <c r="C44" s="62">
        <f>MONTH(ENTRADAS[[#This Row],[Data da Compra]])</f>
        <v>2</v>
      </c>
      <c r="D44" s="62">
        <f>YEAR(ENTRADAS[[#This Row],[Data da Compra]])</f>
        <v>2021</v>
      </c>
      <c r="E44" s="71" t="s">
        <v>86</v>
      </c>
      <c r="F44" s="4" t="s">
        <v>100</v>
      </c>
      <c r="G44" s="61">
        <v>11</v>
      </c>
      <c r="H44" s="63" t="str">
        <f t="shared" ca="1" si="2"/>
        <v>NF22</v>
      </c>
      <c r="I44" s="63" t="str">
        <f t="shared" ca="1" si="1"/>
        <v>OC68</v>
      </c>
      <c r="J44" s="61"/>
    </row>
    <row r="45" spans="2:10">
      <c r="B45" s="59">
        <v>44237</v>
      </c>
      <c r="C45" s="62">
        <f>MONTH(ENTRADAS[[#This Row],[Data da Compra]])</f>
        <v>2</v>
      </c>
      <c r="D45" s="62">
        <f>YEAR(ENTRADAS[[#This Row],[Data da Compra]])</f>
        <v>2021</v>
      </c>
      <c r="E45" s="71" t="s">
        <v>84</v>
      </c>
      <c r="F45" s="4" t="s">
        <v>103</v>
      </c>
      <c r="G45" s="61">
        <v>1</v>
      </c>
      <c r="H45" s="63" t="str">
        <f t="shared" ca="1" si="2"/>
        <v>NF12</v>
      </c>
      <c r="I45" s="63" t="str">
        <f t="shared" ca="1" si="1"/>
        <v>OC57</v>
      </c>
      <c r="J45" s="61"/>
    </row>
    <row r="46" spans="2:10">
      <c r="B46" s="59">
        <v>44238</v>
      </c>
      <c r="C46" s="62">
        <f>MONTH(ENTRADAS[[#This Row],[Data da Compra]])</f>
        <v>2</v>
      </c>
      <c r="D46" s="62">
        <f>YEAR(ENTRADAS[[#This Row],[Data da Compra]])</f>
        <v>2021</v>
      </c>
      <c r="E46" s="71" t="s">
        <v>91</v>
      </c>
      <c r="F46" s="4" t="s">
        <v>103</v>
      </c>
      <c r="G46" s="61">
        <v>11</v>
      </c>
      <c r="H46" s="63" t="str">
        <f t="shared" ca="1" si="2"/>
        <v>NF37</v>
      </c>
      <c r="I46" s="63" t="str">
        <f t="shared" ca="1" si="1"/>
        <v>OC142</v>
      </c>
      <c r="J46" s="61"/>
    </row>
    <row r="47" spans="2:10">
      <c r="B47" s="59">
        <v>44239</v>
      </c>
      <c r="C47" s="62">
        <f>MONTH(ENTRADAS[[#This Row],[Data da Compra]])</f>
        <v>2</v>
      </c>
      <c r="D47" s="62">
        <f>YEAR(ENTRADAS[[#This Row],[Data da Compra]])</f>
        <v>2021</v>
      </c>
      <c r="E47" s="71" t="s">
        <v>91</v>
      </c>
      <c r="F47" s="4" t="s">
        <v>98</v>
      </c>
      <c r="G47" s="61">
        <v>10</v>
      </c>
      <c r="H47" s="63" t="str">
        <f t="shared" ca="1" si="2"/>
        <v>NF121</v>
      </c>
      <c r="I47" s="63" t="str">
        <f t="shared" ca="1" si="1"/>
        <v>OC105</v>
      </c>
      <c r="J47" s="61"/>
    </row>
    <row r="48" spans="2:10">
      <c r="B48" s="59">
        <v>44240</v>
      </c>
      <c r="C48" s="62">
        <f>MONTH(ENTRADAS[[#This Row],[Data da Compra]])</f>
        <v>2</v>
      </c>
      <c r="D48" s="62">
        <f>YEAR(ENTRADAS[[#This Row],[Data da Compra]])</f>
        <v>2021</v>
      </c>
      <c r="E48" s="71" t="s">
        <v>96</v>
      </c>
      <c r="F48" s="4" t="s">
        <v>101</v>
      </c>
      <c r="G48" s="61">
        <v>32</v>
      </c>
      <c r="H48" s="63" t="str">
        <f t="shared" ca="1" si="2"/>
        <v>NF11</v>
      </c>
      <c r="I48" s="63" t="str">
        <f t="shared" ca="1" si="1"/>
        <v>OC75</v>
      </c>
      <c r="J48" s="61"/>
    </row>
    <row r="49" spans="2:10">
      <c r="B49" s="59">
        <v>44241</v>
      </c>
      <c r="C49" s="62">
        <f>MONTH(ENTRADAS[[#This Row],[Data da Compra]])</f>
        <v>2</v>
      </c>
      <c r="D49" s="62">
        <f>YEAR(ENTRADAS[[#This Row],[Data da Compra]])</f>
        <v>2021</v>
      </c>
      <c r="E49" s="71" t="s">
        <v>82</v>
      </c>
      <c r="F49" s="4" t="s">
        <v>100</v>
      </c>
      <c r="G49" s="61">
        <v>12</v>
      </c>
      <c r="H49" s="63" t="str">
        <f t="shared" ca="1" si="2"/>
        <v>NF6</v>
      </c>
      <c r="I49" s="63" t="str">
        <f t="shared" ca="1" si="1"/>
        <v>OC12</v>
      </c>
      <c r="J49" s="61"/>
    </row>
    <row r="50" spans="2:10">
      <c r="B50" s="59">
        <v>44242</v>
      </c>
      <c r="C50" s="62">
        <f>MONTH(ENTRADAS[[#This Row],[Data da Compra]])</f>
        <v>2</v>
      </c>
      <c r="D50" s="62">
        <f>YEAR(ENTRADAS[[#This Row],[Data da Compra]])</f>
        <v>2021</v>
      </c>
      <c r="E50" s="71" t="s">
        <v>82</v>
      </c>
      <c r="F50" s="4" t="s">
        <v>98</v>
      </c>
      <c r="G50" s="61">
        <v>41</v>
      </c>
      <c r="H50" s="63" t="str">
        <f t="shared" ca="1" si="2"/>
        <v>NF142</v>
      </c>
      <c r="I50" s="63" t="str">
        <f t="shared" ca="1" si="1"/>
        <v>OC78</v>
      </c>
      <c r="J50" s="61"/>
    </row>
    <row r="51" spans="2:10">
      <c r="B51" s="59">
        <v>44243</v>
      </c>
      <c r="C51" s="62">
        <f>MONTH(ENTRADAS[[#This Row],[Data da Compra]])</f>
        <v>2</v>
      </c>
      <c r="D51" s="62">
        <f>YEAR(ENTRADAS[[#This Row],[Data da Compra]])</f>
        <v>2021</v>
      </c>
      <c r="E51" s="71" t="s">
        <v>94</v>
      </c>
      <c r="F51" s="4" t="s">
        <v>103</v>
      </c>
      <c r="G51" s="61">
        <v>22</v>
      </c>
      <c r="H51" s="63" t="str">
        <f t="shared" ca="1" si="2"/>
        <v>NF107</v>
      </c>
      <c r="I51" s="63" t="str">
        <f t="shared" ca="1" si="1"/>
        <v>OC10</v>
      </c>
      <c r="J51" s="61"/>
    </row>
    <row r="52" spans="2:10">
      <c r="B52" s="59">
        <v>44244</v>
      </c>
      <c r="C52" s="62">
        <f>MONTH(ENTRADAS[[#This Row],[Data da Compra]])</f>
        <v>2</v>
      </c>
      <c r="D52" s="62">
        <f>YEAR(ENTRADAS[[#This Row],[Data da Compra]])</f>
        <v>2021</v>
      </c>
      <c r="E52" s="71" t="s">
        <v>95</v>
      </c>
      <c r="F52" s="4" t="s">
        <v>99</v>
      </c>
      <c r="G52" s="61">
        <v>30</v>
      </c>
      <c r="H52" s="63" t="str">
        <f t="shared" ca="1" si="2"/>
        <v>NF88</v>
      </c>
      <c r="I52" s="63" t="str">
        <f t="shared" ca="1" si="1"/>
        <v>OC5</v>
      </c>
      <c r="J52" s="61"/>
    </row>
    <row r="53" spans="2:10">
      <c r="B53" s="59">
        <v>44245</v>
      </c>
      <c r="C53" s="62">
        <f>MONTH(ENTRADAS[[#This Row],[Data da Compra]])</f>
        <v>2</v>
      </c>
      <c r="D53" s="62">
        <f>YEAR(ENTRADAS[[#This Row],[Data da Compra]])</f>
        <v>2021</v>
      </c>
      <c r="E53" s="71" t="s">
        <v>91</v>
      </c>
      <c r="F53" s="4" t="s">
        <v>102</v>
      </c>
      <c r="G53" s="61">
        <v>3</v>
      </c>
      <c r="H53" s="63" t="str">
        <f t="shared" ca="1" si="2"/>
        <v>NF111</v>
      </c>
      <c r="I53" s="63" t="str">
        <f t="shared" ca="1" si="1"/>
        <v>OC6</v>
      </c>
      <c r="J53" s="61"/>
    </row>
    <row r="54" spans="2:10">
      <c r="B54" s="59">
        <v>44246</v>
      </c>
      <c r="C54" s="62">
        <f>MONTH(ENTRADAS[[#This Row],[Data da Compra]])</f>
        <v>2</v>
      </c>
      <c r="D54" s="62">
        <f>YEAR(ENTRADAS[[#This Row],[Data da Compra]])</f>
        <v>2021</v>
      </c>
      <c r="E54" s="71" t="s">
        <v>86</v>
      </c>
      <c r="F54" s="4" t="s">
        <v>98</v>
      </c>
      <c r="G54" s="61">
        <v>28</v>
      </c>
      <c r="H54" s="63" t="str">
        <f t="shared" ca="1" si="2"/>
        <v>NF78</v>
      </c>
      <c r="I54" s="63" t="str">
        <f t="shared" ca="1" si="1"/>
        <v>OC38</v>
      </c>
      <c r="J54" s="61"/>
    </row>
    <row r="55" spans="2:10">
      <c r="B55" s="59">
        <v>44247</v>
      </c>
      <c r="C55" s="62">
        <f>MONTH(ENTRADAS[[#This Row],[Data da Compra]])</f>
        <v>2</v>
      </c>
      <c r="D55" s="62">
        <f>YEAR(ENTRADAS[[#This Row],[Data da Compra]])</f>
        <v>2021</v>
      </c>
      <c r="E55" s="71" t="s">
        <v>89</v>
      </c>
      <c r="F55" s="4" t="s">
        <v>102</v>
      </c>
      <c r="G55" s="61">
        <v>25</v>
      </c>
      <c r="H55" s="63" t="str">
        <f t="shared" ca="1" si="2"/>
        <v>NF32</v>
      </c>
      <c r="I55" s="63" t="str">
        <f t="shared" ca="1" si="1"/>
        <v>OC97</v>
      </c>
      <c r="J55" s="61"/>
    </row>
    <row r="56" spans="2:10">
      <c r="B56" s="59">
        <v>44248</v>
      </c>
      <c r="C56" s="62">
        <f>MONTH(ENTRADAS[[#This Row],[Data da Compra]])</f>
        <v>2</v>
      </c>
      <c r="D56" s="62">
        <f>YEAR(ENTRADAS[[#This Row],[Data da Compra]])</f>
        <v>2021</v>
      </c>
      <c r="E56" s="71" t="s">
        <v>95</v>
      </c>
      <c r="F56" s="4" t="s">
        <v>99</v>
      </c>
      <c r="G56" s="61">
        <v>44</v>
      </c>
      <c r="H56" s="63" t="str">
        <f t="shared" ca="1" si="2"/>
        <v>NF31</v>
      </c>
      <c r="I56" s="63" t="str">
        <f t="shared" ca="1" si="1"/>
        <v>OC138</v>
      </c>
      <c r="J56" s="61"/>
    </row>
    <row r="57" spans="2:10">
      <c r="B57" s="59">
        <v>44249</v>
      </c>
      <c r="C57" s="62">
        <f>MONTH(ENTRADAS[[#This Row],[Data da Compra]])</f>
        <v>2</v>
      </c>
      <c r="D57" s="62">
        <f>YEAR(ENTRADAS[[#This Row],[Data da Compra]])</f>
        <v>2021</v>
      </c>
      <c r="E57" s="71" t="s">
        <v>83</v>
      </c>
      <c r="F57" s="4" t="s">
        <v>101</v>
      </c>
      <c r="G57" s="61">
        <v>2</v>
      </c>
      <c r="H57" s="63" t="str">
        <f t="shared" ca="1" si="2"/>
        <v>NF52</v>
      </c>
      <c r="I57" s="63" t="str">
        <f t="shared" ca="1" si="1"/>
        <v>OC121</v>
      </c>
      <c r="J57" s="61"/>
    </row>
    <row r="58" spans="2:10">
      <c r="B58" s="59">
        <v>44250</v>
      </c>
      <c r="C58" s="62">
        <f>MONTH(ENTRADAS[[#This Row],[Data da Compra]])</f>
        <v>2</v>
      </c>
      <c r="D58" s="62">
        <f>YEAR(ENTRADAS[[#This Row],[Data da Compra]])</f>
        <v>2021</v>
      </c>
      <c r="E58" s="71" t="s">
        <v>89</v>
      </c>
      <c r="F58" s="4" t="s">
        <v>98</v>
      </c>
      <c r="G58" s="61">
        <v>4</v>
      </c>
      <c r="H58" s="63" t="str">
        <f t="shared" ca="1" si="2"/>
        <v>NF26</v>
      </c>
      <c r="I58" s="63" t="str">
        <f t="shared" ca="1" si="1"/>
        <v>OC88</v>
      </c>
      <c r="J58" s="61"/>
    </row>
    <row r="59" spans="2:10">
      <c r="B59" s="59">
        <v>44251</v>
      </c>
      <c r="C59" s="62">
        <f>MONTH(ENTRADAS[[#This Row],[Data da Compra]])</f>
        <v>2</v>
      </c>
      <c r="D59" s="62">
        <f>YEAR(ENTRADAS[[#This Row],[Data da Compra]])</f>
        <v>2021</v>
      </c>
      <c r="E59" s="71" t="s">
        <v>97</v>
      </c>
      <c r="F59" s="4" t="s">
        <v>101</v>
      </c>
      <c r="G59" s="61">
        <v>20</v>
      </c>
      <c r="H59" s="63" t="str">
        <f t="shared" ca="1" si="2"/>
        <v>NF118</v>
      </c>
      <c r="I59" s="63" t="str">
        <f t="shared" ca="1" si="1"/>
        <v>OC33</v>
      </c>
      <c r="J59" s="61"/>
    </row>
    <row r="60" spans="2:10">
      <c r="B60" s="59">
        <v>44252</v>
      </c>
      <c r="C60" s="62">
        <f>MONTH(ENTRADAS[[#This Row],[Data da Compra]])</f>
        <v>2</v>
      </c>
      <c r="D60" s="62">
        <f>YEAR(ENTRADAS[[#This Row],[Data da Compra]])</f>
        <v>2021</v>
      </c>
      <c r="E60" s="71" t="s">
        <v>96</v>
      </c>
      <c r="F60" s="4" t="s">
        <v>98</v>
      </c>
      <c r="G60" s="61">
        <v>44</v>
      </c>
      <c r="H60" s="63" t="str">
        <f t="shared" ca="1" si="2"/>
        <v>NF71</v>
      </c>
      <c r="I60" s="63" t="str">
        <f t="shared" ca="1" si="1"/>
        <v>OC85</v>
      </c>
      <c r="J60" s="61"/>
    </row>
    <row r="61" spans="2:10">
      <c r="B61" s="59">
        <v>44253</v>
      </c>
      <c r="C61" s="62">
        <f>MONTH(ENTRADAS[[#This Row],[Data da Compra]])</f>
        <v>2</v>
      </c>
      <c r="D61" s="62">
        <f>YEAR(ENTRADAS[[#This Row],[Data da Compra]])</f>
        <v>2021</v>
      </c>
      <c r="E61" s="71" t="s">
        <v>82</v>
      </c>
      <c r="F61" s="4" t="s">
        <v>99</v>
      </c>
      <c r="G61" s="61">
        <v>8</v>
      </c>
      <c r="H61" s="63" t="str">
        <f t="shared" ca="1" si="2"/>
        <v>NF34</v>
      </c>
      <c r="I61" s="63" t="str">
        <f t="shared" ca="1" si="1"/>
        <v>OC69</v>
      </c>
      <c r="J61" s="61"/>
    </row>
    <row r="62" spans="2:10">
      <c r="B62" s="59">
        <v>44254</v>
      </c>
      <c r="C62" s="62">
        <f>MONTH(ENTRADAS[[#This Row],[Data da Compra]])</f>
        <v>2</v>
      </c>
      <c r="D62" s="62">
        <f>YEAR(ENTRADAS[[#This Row],[Data da Compra]])</f>
        <v>2021</v>
      </c>
      <c r="E62" s="71" t="s">
        <v>96</v>
      </c>
      <c r="F62" s="4" t="s">
        <v>100</v>
      </c>
      <c r="G62" s="61">
        <v>8</v>
      </c>
      <c r="H62" s="63" t="str">
        <f t="shared" ca="1" si="2"/>
        <v>NF103</v>
      </c>
      <c r="I62" s="63" t="str">
        <f t="shared" ca="1" si="1"/>
        <v>OC46</v>
      </c>
      <c r="J62" s="61"/>
    </row>
    <row r="63" spans="2:10">
      <c r="B63" s="59">
        <v>44255</v>
      </c>
      <c r="C63" s="62">
        <f>MONTH(ENTRADAS[[#This Row],[Data da Compra]])</f>
        <v>2</v>
      </c>
      <c r="D63" s="62">
        <f>YEAR(ENTRADAS[[#This Row],[Data da Compra]])</f>
        <v>2021</v>
      </c>
      <c r="E63" s="71" t="s">
        <v>95</v>
      </c>
      <c r="F63" s="4" t="s">
        <v>102</v>
      </c>
      <c r="G63" s="61">
        <v>31</v>
      </c>
      <c r="H63" s="63" t="str">
        <f t="shared" ca="1" si="2"/>
        <v>NF84</v>
      </c>
      <c r="I63" s="63" t="str">
        <f t="shared" ca="1" si="1"/>
        <v>OC120</v>
      </c>
      <c r="J63" s="61"/>
    </row>
    <row r="64" spans="2:10">
      <c r="B64" s="59">
        <v>44256</v>
      </c>
      <c r="C64" s="62">
        <f>MONTH(ENTRADAS[[#This Row],[Data da Compra]])</f>
        <v>3</v>
      </c>
      <c r="D64" s="62">
        <f>YEAR(ENTRADAS[[#This Row],[Data da Compra]])</f>
        <v>2021</v>
      </c>
      <c r="E64" s="71" t="s">
        <v>87</v>
      </c>
      <c r="F64" s="4" t="s">
        <v>102</v>
      </c>
      <c r="G64" s="61">
        <v>4</v>
      </c>
      <c r="H64" s="63" t="str">
        <f t="shared" ca="1" si="2"/>
        <v>NF12</v>
      </c>
      <c r="I64" s="63" t="str">
        <f t="shared" ca="1" si="1"/>
        <v>OC73</v>
      </c>
      <c r="J64" s="61"/>
    </row>
    <row r="65" spans="2:10">
      <c r="B65" s="59">
        <v>44257</v>
      </c>
      <c r="C65" s="62">
        <f>MONTH(ENTRADAS[[#This Row],[Data da Compra]])</f>
        <v>3</v>
      </c>
      <c r="D65" s="62">
        <f>YEAR(ENTRADAS[[#This Row],[Data da Compra]])</f>
        <v>2021</v>
      </c>
      <c r="E65" s="71" t="s">
        <v>87</v>
      </c>
      <c r="F65" s="4" t="s">
        <v>100</v>
      </c>
      <c r="G65" s="61">
        <v>35</v>
      </c>
      <c r="H65" s="63" t="str">
        <f t="shared" ca="1" si="2"/>
        <v>NF55</v>
      </c>
      <c r="I65" s="63" t="str">
        <f t="shared" ca="1" si="1"/>
        <v>OC57</v>
      </c>
      <c r="J65" s="61"/>
    </row>
    <row r="66" spans="2:10">
      <c r="B66" s="59">
        <v>44258</v>
      </c>
      <c r="C66" s="62">
        <f>MONTH(ENTRADAS[[#This Row],[Data da Compra]])</f>
        <v>3</v>
      </c>
      <c r="D66" s="62">
        <f>YEAR(ENTRADAS[[#This Row],[Data da Compra]])</f>
        <v>2021</v>
      </c>
      <c r="E66" s="71" t="s">
        <v>86</v>
      </c>
      <c r="F66" s="4" t="s">
        <v>100</v>
      </c>
      <c r="G66" s="61">
        <v>4</v>
      </c>
      <c r="H66" s="63" t="str">
        <f t="shared" ca="1" si="2"/>
        <v>NF137</v>
      </c>
      <c r="I66" s="63" t="str">
        <f t="shared" ca="1" si="1"/>
        <v>OC2</v>
      </c>
      <c r="J66" s="61"/>
    </row>
    <row r="67" spans="2:10">
      <c r="B67" s="59">
        <v>44259</v>
      </c>
      <c r="C67" s="62">
        <f>MONTH(ENTRADAS[[#This Row],[Data da Compra]])</f>
        <v>3</v>
      </c>
      <c r="D67" s="62">
        <f>YEAR(ENTRADAS[[#This Row],[Data da Compra]])</f>
        <v>2021</v>
      </c>
      <c r="E67" s="71" t="s">
        <v>86</v>
      </c>
      <c r="F67" s="4" t="s">
        <v>98</v>
      </c>
      <c r="G67" s="61">
        <v>44</v>
      </c>
      <c r="H67" s="63" t="str">
        <f t="shared" ca="1" si="2"/>
        <v>NF8</v>
      </c>
      <c r="I67" s="63" t="str">
        <f t="shared" ca="1" si="1"/>
        <v>OC102</v>
      </c>
      <c r="J67" s="61"/>
    </row>
    <row r="68" spans="2:10">
      <c r="B68" s="59">
        <v>44260</v>
      </c>
      <c r="C68" s="62">
        <f>MONTH(ENTRADAS[[#This Row],[Data da Compra]])</f>
        <v>3</v>
      </c>
      <c r="D68" s="62">
        <f>YEAR(ENTRADAS[[#This Row],[Data da Compra]])</f>
        <v>2021</v>
      </c>
      <c r="E68" s="71" t="s">
        <v>84</v>
      </c>
      <c r="F68" s="4" t="s">
        <v>100</v>
      </c>
      <c r="G68" s="61">
        <v>24</v>
      </c>
      <c r="H68" s="63" t="str">
        <f t="shared" ca="1" si="2"/>
        <v>NF71</v>
      </c>
      <c r="I68" s="63" t="str">
        <f t="shared" ca="1" si="1"/>
        <v>OC16</v>
      </c>
      <c r="J68" s="61"/>
    </row>
    <row r="69" spans="2:10">
      <c r="B69" s="59">
        <v>44261</v>
      </c>
      <c r="C69" s="62">
        <f>MONTH(ENTRADAS[[#This Row],[Data da Compra]])</f>
        <v>3</v>
      </c>
      <c r="D69" s="62">
        <f>YEAR(ENTRADAS[[#This Row],[Data da Compra]])</f>
        <v>2021</v>
      </c>
      <c r="E69" s="71" t="s">
        <v>87</v>
      </c>
      <c r="F69" s="4" t="s">
        <v>98</v>
      </c>
      <c r="G69" s="61">
        <v>31</v>
      </c>
      <c r="H69" s="63" t="str">
        <f t="shared" ref="H69:H100" ca="1" si="3">"NF"&amp;RANDBETWEEN(1,147)</f>
        <v>NF55</v>
      </c>
      <c r="I69" s="63" t="str">
        <f t="shared" ref="I69:I132" ca="1" si="4">"OC"&amp;RANDBETWEEN(1,147)</f>
        <v>OC14</v>
      </c>
      <c r="J69" s="61"/>
    </row>
    <row r="70" spans="2:10">
      <c r="B70" s="59">
        <v>44262</v>
      </c>
      <c r="C70" s="62">
        <f>MONTH(ENTRADAS[[#This Row],[Data da Compra]])</f>
        <v>3</v>
      </c>
      <c r="D70" s="62">
        <f>YEAR(ENTRADAS[[#This Row],[Data da Compra]])</f>
        <v>2021</v>
      </c>
      <c r="E70" s="71" t="s">
        <v>95</v>
      </c>
      <c r="F70" s="4" t="s">
        <v>101</v>
      </c>
      <c r="G70" s="61">
        <v>33</v>
      </c>
      <c r="H70" s="63" t="str">
        <f t="shared" ca="1" si="3"/>
        <v>NF143</v>
      </c>
      <c r="I70" s="63" t="str">
        <f t="shared" ca="1" si="4"/>
        <v>OC107</v>
      </c>
      <c r="J70" s="61"/>
    </row>
    <row r="71" spans="2:10">
      <c r="B71" s="59">
        <v>44263</v>
      </c>
      <c r="C71" s="62">
        <f>MONTH(ENTRADAS[[#This Row],[Data da Compra]])</f>
        <v>3</v>
      </c>
      <c r="D71" s="62">
        <f>YEAR(ENTRADAS[[#This Row],[Data da Compra]])</f>
        <v>2021</v>
      </c>
      <c r="E71" s="71" t="s">
        <v>94</v>
      </c>
      <c r="F71" s="4" t="s">
        <v>102</v>
      </c>
      <c r="G71" s="61">
        <v>8</v>
      </c>
      <c r="H71" s="63" t="str">
        <f t="shared" ca="1" si="3"/>
        <v>NF145</v>
      </c>
      <c r="I71" s="63" t="str">
        <f t="shared" ca="1" si="4"/>
        <v>OC132</v>
      </c>
      <c r="J71" s="61"/>
    </row>
    <row r="72" spans="2:10">
      <c r="B72" s="59">
        <v>44264</v>
      </c>
      <c r="C72" s="62">
        <f>MONTH(ENTRADAS[[#This Row],[Data da Compra]])</f>
        <v>3</v>
      </c>
      <c r="D72" s="62">
        <f>YEAR(ENTRADAS[[#This Row],[Data da Compra]])</f>
        <v>2021</v>
      </c>
      <c r="E72" s="71" t="s">
        <v>97</v>
      </c>
      <c r="F72" s="4" t="s">
        <v>99</v>
      </c>
      <c r="G72" s="61">
        <v>20</v>
      </c>
      <c r="H72" s="63" t="str">
        <f t="shared" ca="1" si="3"/>
        <v>NF129</v>
      </c>
      <c r="I72" s="63" t="str">
        <f t="shared" ca="1" si="4"/>
        <v>OC48</v>
      </c>
      <c r="J72" s="61"/>
    </row>
    <row r="73" spans="2:10">
      <c r="B73" s="59">
        <v>44265</v>
      </c>
      <c r="C73" s="62">
        <f>MONTH(ENTRADAS[[#This Row],[Data da Compra]])</f>
        <v>3</v>
      </c>
      <c r="D73" s="62">
        <f>YEAR(ENTRADAS[[#This Row],[Data da Compra]])</f>
        <v>2021</v>
      </c>
      <c r="E73" s="71" t="s">
        <v>82</v>
      </c>
      <c r="F73" s="4" t="s">
        <v>100</v>
      </c>
      <c r="G73" s="61">
        <v>28</v>
      </c>
      <c r="H73" s="63" t="str">
        <f t="shared" ca="1" si="3"/>
        <v>NF56</v>
      </c>
      <c r="I73" s="63" t="str">
        <f t="shared" ca="1" si="4"/>
        <v>OC33</v>
      </c>
      <c r="J73" s="61"/>
    </row>
    <row r="74" spans="2:10">
      <c r="B74" s="59">
        <v>44266</v>
      </c>
      <c r="C74" s="62">
        <f>MONTH(ENTRADAS[[#This Row],[Data da Compra]])</f>
        <v>3</v>
      </c>
      <c r="D74" s="62">
        <f>YEAR(ENTRADAS[[#This Row],[Data da Compra]])</f>
        <v>2021</v>
      </c>
      <c r="E74" s="71" t="s">
        <v>94</v>
      </c>
      <c r="F74" s="4" t="s">
        <v>98</v>
      </c>
      <c r="G74" s="61">
        <v>11</v>
      </c>
      <c r="H74" s="63" t="str">
        <f t="shared" ca="1" si="3"/>
        <v>NF4</v>
      </c>
      <c r="I74" s="63" t="str">
        <f t="shared" ca="1" si="4"/>
        <v>OC61</v>
      </c>
      <c r="J74" s="61"/>
    </row>
    <row r="75" spans="2:10">
      <c r="B75" s="59">
        <v>44267</v>
      </c>
      <c r="C75" s="62">
        <f>MONTH(ENTRADAS[[#This Row],[Data da Compra]])</f>
        <v>3</v>
      </c>
      <c r="D75" s="62">
        <f>YEAR(ENTRADAS[[#This Row],[Data da Compra]])</f>
        <v>2021</v>
      </c>
      <c r="E75" s="71" t="s">
        <v>85</v>
      </c>
      <c r="F75" s="4" t="s">
        <v>103</v>
      </c>
      <c r="G75" s="61">
        <v>4</v>
      </c>
      <c r="H75" s="63" t="str">
        <f t="shared" ca="1" si="3"/>
        <v>NF45</v>
      </c>
      <c r="I75" s="63" t="str">
        <f t="shared" ca="1" si="4"/>
        <v>OC38</v>
      </c>
      <c r="J75" s="61"/>
    </row>
    <row r="76" spans="2:10">
      <c r="B76" s="59">
        <v>44268</v>
      </c>
      <c r="C76" s="62">
        <f>MONTH(ENTRADAS[[#This Row],[Data da Compra]])</f>
        <v>3</v>
      </c>
      <c r="D76" s="62">
        <f>YEAR(ENTRADAS[[#This Row],[Data da Compra]])</f>
        <v>2021</v>
      </c>
      <c r="E76" s="71" t="s">
        <v>88</v>
      </c>
      <c r="F76" s="4" t="s">
        <v>101</v>
      </c>
      <c r="G76" s="61">
        <v>33</v>
      </c>
      <c r="H76" s="63" t="str">
        <f t="shared" ca="1" si="3"/>
        <v>NF60</v>
      </c>
      <c r="I76" s="63" t="str">
        <f t="shared" ca="1" si="4"/>
        <v>OC9</v>
      </c>
      <c r="J76" s="61"/>
    </row>
    <row r="77" spans="2:10">
      <c r="B77" s="59">
        <v>44269</v>
      </c>
      <c r="C77" s="62">
        <f>MONTH(ENTRADAS[[#This Row],[Data da Compra]])</f>
        <v>3</v>
      </c>
      <c r="D77" s="62">
        <f>YEAR(ENTRADAS[[#This Row],[Data da Compra]])</f>
        <v>2021</v>
      </c>
      <c r="E77" s="71" t="s">
        <v>83</v>
      </c>
      <c r="F77" s="4" t="s">
        <v>98</v>
      </c>
      <c r="G77" s="61">
        <v>2</v>
      </c>
      <c r="H77" s="63" t="str">
        <f t="shared" ca="1" si="3"/>
        <v>NF31</v>
      </c>
      <c r="I77" s="63" t="str">
        <f t="shared" ca="1" si="4"/>
        <v>OC37</v>
      </c>
      <c r="J77" s="61"/>
    </row>
    <row r="78" spans="2:10">
      <c r="B78" s="59">
        <v>44270</v>
      </c>
      <c r="C78" s="62">
        <f>MONTH(ENTRADAS[[#This Row],[Data da Compra]])</f>
        <v>3</v>
      </c>
      <c r="D78" s="62">
        <f>YEAR(ENTRADAS[[#This Row],[Data da Compra]])</f>
        <v>2021</v>
      </c>
      <c r="E78" s="71" t="s">
        <v>97</v>
      </c>
      <c r="F78" s="4" t="s">
        <v>98</v>
      </c>
      <c r="G78" s="61">
        <v>10</v>
      </c>
      <c r="H78" s="63" t="str">
        <f t="shared" ca="1" si="3"/>
        <v>NF40</v>
      </c>
      <c r="I78" s="63" t="str">
        <f t="shared" ca="1" si="4"/>
        <v>OC127</v>
      </c>
      <c r="J78" s="61"/>
    </row>
    <row r="79" spans="2:10">
      <c r="B79" s="59">
        <v>44271</v>
      </c>
      <c r="C79" s="62">
        <f>MONTH(ENTRADAS[[#This Row],[Data da Compra]])</f>
        <v>3</v>
      </c>
      <c r="D79" s="62">
        <f>YEAR(ENTRADAS[[#This Row],[Data da Compra]])</f>
        <v>2021</v>
      </c>
      <c r="E79" s="71" t="s">
        <v>93</v>
      </c>
      <c r="F79" s="4" t="s">
        <v>99</v>
      </c>
      <c r="G79" s="61">
        <v>23</v>
      </c>
      <c r="H79" s="63" t="str">
        <f t="shared" ca="1" si="3"/>
        <v>NF77</v>
      </c>
      <c r="I79" s="63" t="str">
        <f t="shared" ca="1" si="4"/>
        <v>OC28</v>
      </c>
      <c r="J79" s="61"/>
    </row>
    <row r="80" spans="2:10">
      <c r="B80" s="59">
        <v>44272</v>
      </c>
      <c r="C80" s="62">
        <f>MONTH(ENTRADAS[[#This Row],[Data da Compra]])</f>
        <v>3</v>
      </c>
      <c r="D80" s="62">
        <f>YEAR(ENTRADAS[[#This Row],[Data da Compra]])</f>
        <v>2021</v>
      </c>
      <c r="E80" s="71" t="s">
        <v>86</v>
      </c>
      <c r="F80" s="4" t="s">
        <v>100</v>
      </c>
      <c r="G80" s="61">
        <v>23</v>
      </c>
      <c r="H80" s="63" t="str">
        <f t="shared" ca="1" si="3"/>
        <v>NF58</v>
      </c>
      <c r="I80" s="63" t="str">
        <f t="shared" ca="1" si="4"/>
        <v>OC24</v>
      </c>
      <c r="J80" s="61"/>
    </row>
    <row r="81" spans="2:10">
      <c r="B81" s="59">
        <v>44273</v>
      </c>
      <c r="C81" s="62">
        <f>MONTH(ENTRADAS[[#This Row],[Data da Compra]])</f>
        <v>3</v>
      </c>
      <c r="D81" s="62">
        <f>YEAR(ENTRADAS[[#This Row],[Data da Compra]])</f>
        <v>2021</v>
      </c>
      <c r="E81" s="71" t="s">
        <v>91</v>
      </c>
      <c r="F81" s="4" t="s">
        <v>102</v>
      </c>
      <c r="G81" s="61">
        <v>42</v>
      </c>
      <c r="H81" s="63" t="str">
        <f t="shared" ca="1" si="3"/>
        <v>NF3</v>
      </c>
      <c r="I81" s="63" t="str">
        <f t="shared" ca="1" si="4"/>
        <v>OC132</v>
      </c>
      <c r="J81" s="61"/>
    </row>
    <row r="82" spans="2:10">
      <c r="B82" s="59">
        <v>44274</v>
      </c>
      <c r="C82" s="62">
        <f>MONTH(ENTRADAS[[#This Row],[Data da Compra]])</f>
        <v>3</v>
      </c>
      <c r="D82" s="62">
        <f>YEAR(ENTRADAS[[#This Row],[Data da Compra]])</f>
        <v>2021</v>
      </c>
      <c r="E82" s="71" t="s">
        <v>84</v>
      </c>
      <c r="F82" s="4" t="s">
        <v>101</v>
      </c>
      <c r="G82" s="61">
        <v>40</v>
      </c>
      <c r="H82" s="63" t="str">
        <f t="shared" ca="1" si="3"/>
        <v>NF144</v>
      </c>
      <c r="I82" s="63" t="str">
        <f t="shared" ca="1" si="4"/>
        <v>OC1</v>
      </c>
      <c r="J82" s="61"/>
    </row>
    <row r="83" spans="2:10">
      <c r="B83" s="59">
        <v>44275</v>
      </c>
      <c r="C83" s="62">
        <f>MONTH(ENTRADAS[[#This Row],[Data da Compra]])</f>
        <v>3</v>
      </c>
      <c r="D83" s="62">
        <f>YEAR(ENTRADAS[[#This Row],[Data da Compra]])</f>
        <v>2021</v>
      </c>
      <c r="E83" s="71" t="s">
        <v>85</v>
      </c>
      <c r="F83" s="4" t="s">
        <v>98</v>
      </c>
      <c r="G83" s="61">
        <v>40</v>
      </c>
      <c r="H83" s="63" t="str">
        <f t="shared" ca="1" si="3"/>
        <v>NF128</v>
      </c>
      <c r="I83" s="63" t="str">
        <f t="shared" ca="1" si="4"/>
        <v>OC52</v>
      </c>
      <c r="J83" s="61"/>
    </row>
    <row r="84" spans="2:10">
      <c r="B84" s="59">
        <v>44276</v>
      </c>
      <c r="C84" s="62">
        <f>MONTH(ENTRADAS[[#This Row],[Data da Compra]])</f>
        <v>3</v>
      </c>
      <c r="D84" s="62">
        <f>YEAR(ENTRADAS[[#This Row],[Data da Compra]])</f>
        <v>2021</v>
      </c>
      <c r="E84" s="71" t="s">
        <v>96</v>
      </c>
      <c r="F84" s="4" t="s">
        <v>99</v>
      </c>
      <c r="G84" s="61">
        <v>40</v>
      </c>
      <c r="H84" s="63" t="str">
        <f t="shared" ca="1" si="3"/>
        <v>NF109</v>
      </c>
      <c r="I84" s="63" t="str">
        <f t="shared" ca="1" si="4"/>
        <v>OC139</v>
      </c>
      <c r="J84" s="61"/>
    </row>
    <row r="85" spans="2:10">
      <c r="B85" s="59">
        <v>44277</v>
      </c>
      <c r="C85" s="62">
        <f>MONTH(ENTRADAS[[#This Row],[Data da Compra]])</f>
        <v>3</v>
      </c>
      <c r="D85" s="62">
        <f>YEAR(ENTRADAS[[#This Row],[Data da Compra]])</f>
        <v>2021</v>
      </c>
      <c r="E85" s="71" t="s">
        <v>92</v>
      </c>
      <c r="F85" s="4" t="s">
        <v>102</v>
      </c>
      <c r="G85" s="61">
        <v>28</v>
      </c>
      <c r="H85" s="63" t="str">
        <f t="shared" ca="1" si="3"/>
        <v>NF80</v>
      </c>
      <c r="I85" s="63" t="str">
        <f t="shared" ca="1" si="4"/>
        <v>OC52</v>
      </c>
      <c r="J85" s="61"/>
    </row>
    <row r="86" spans="2:10">
      <c r="B86" s="59">
        <v>44278</v>
      </c>
      <c r="C86" s="62">
        <f>MONTH(ENTRADAS[[#This Row],[Data da Compra]])</f>
        <v>3</v>
      </c>
      <c r="D86" s="62">
        <f>YEAR(ENTRADAS[[#This Row],[Data da Compra]])</f>
        <v>2021</v>
      </c>
      <c r="E86" s="71" t="s">
        <v>92</v>
      </c>
      <c r="F86" s="4" t="s">
        <v>103</v>
      </c>
      <c r="G86" s="61">
        <v>16</v>
      </c>
      <c r="H86" s="63" t="str">
        <f t="shared" ca="1" si="3"/>
        <v>NF55</v>
      </c>
      <c r="I86" s="63" t="str">
        <f t="shared" ca="1" si="4"/>
        <v>OC147</v>
      </c>
      <c r="J86" s="61"/>
    </row>
    <row r="87" spans="2:10">
      <c r="B87" s="59">
        <v>44279</v>
      </c>
      <c r="C87" s="62">
        <f>MONTH(ENTRADAS[[#This Row],[Data da Compra]])</f>
        <v>3</v>
      </c>
      <c r="D87" s="62">
        <f>YEAR(ENTRADAS[[#This Row],[Data da Compra]])</f>
        <v>2021</v>
      </c>
      <c r="E87" s="71" t="s">
        <v>87</v>
      </c>
      <c r="F87" s="4" t="s">
        <v>98</v>
      </c>
      <c r="G87" s="61">
        <v>29</v>
      </c>
      <c r="H87" s="63" t="str">
        <f t="shared" ca="1" si="3"/>
        <v>NF113</v>
      </c>
      <c r="I87" s="63" t="str">
        <f t="shared" ca="1" si="4"/>
        <v>OC81</v>
      </c>
      <c r="J87" s="61"/>
    </row>
    <row r="88" spans="2:10">
      <c r="B88" s="59">
        <v>44280</v>
      </c>
      <c r="C88" s="62">
        <f>MONTH(ENTRADAS[[#This Row],[Data da Compra]])</f>
        <v>3</v>
      </c>
      <c r="D88" s="62">
        <f>YEAR(ENTRADAS[[#This Row],[Data da Compra]])</f>
        <v>2021</v>
      </c>
      <c r="E88" s="71" t="s">
        <v>83</v>
      </c>
      <c r="F88" s="4" t="s">
        <v>99</v>
      </c>
      <c r="G88" s="61">
        <v>2</v>
      </c>
      <c r="H88" s="63" t="str">
        <f t="shared" ca="1" si="3"/>
        <v>NF147</v>
      </c>
      <c r="I88" s="63" t="str">
        <f t="shared" ca="1" si="4"/>
        <v>OC136</v>
      </c>
      <c r="J88" s="61"/>
    </row>
    <row r="89" spans="2:10">
      <c r="B89" s="59">
        <v>44281</v>
      </c>
      <c r="C89" s="62">
        <f>MONTH(ENTRADAS[[#This Row],[Data da Compra]])</f>
        <v>3</v>
      </c>
      <c r="D89" s="62">
        <f>YEAR(ENTRADAS[[#This Row],[Data da Compra]])</f>
        <v>2021</v>
      </c>
      <c r="E89" s="71" t="s">
        <v>82</v>
      </c>
      <c r="F89" s="4" t="s">
        <v>101</v>
      </c>
      <c r="G89" s="61">
        <v>2</v>
      </c>
      <c r="H89" s="63" t="str">
        <f t="shared" ca="1" si="3"/>
        <v>NF108</v>
      </c>
      <c r="I89" s="63" t="str">
        <f t="shared" ca="1" si="4"/>
        <v>OC95</v>
      </c>
      <c r="J89" s="61"/>
    </row>
    <row r="90" spans="2:10">
      <c r="B90" s="59">
        <v>44282</v>
      </c>
      <c r="C90" s="62">
        <f>MONTH(ENTRADAS[[#This Row],[Data da Compra]])</f>
        <v>3</v>
      </c>
      <c r="D90" s="62">
        <f>YEAR(ENTRADAS[[#This Row],[Data da Compra]])</f>
        <v>2021</v>
      </c>
      <c r="E90" s="71" t="s">
        <v>82</v>
      </c>
      <c r="F90" s="4" t="s">
        <v>101</v>
      </c>
      <c r="G90" s="61">
        <v>13</v>
      </c>
      <c r="H90" s="63" t="str">
        <f t="shared" ca="1" si="3"/>
        <v>NF20</v>
      </c>
      <c r="I90" s="63" t="str">
        <f t="shared" ca="1" si="4"/>
        <v>OC106</v>
      </c>
      <c r="J90" s="61"/>
    </row>
    <row r="91" spans="2:10">
      <c r="B91" s="59">
        <v>44283</v>
      </c>
      <c r="C91" s="62">
        <f>MONTH(ENTRADAS[[#This Row],[Data da Compra]])</f>
        <v>3</v>
      </c>
      <c r="D91" s="62">
        <f>YEAR(ENTRADAS[[#This Row],[Data da Compra]])</f>
        <v>2021</v>
      </c>
      <c r="E91" s="71" t="s">
        <v>87</v>
      </c>
      <c r="F91" s="4" t="s">
        <v>98</v>
      </c>
      <c r="G91" s="61">
        <v>39</v>
      </c>
      <c r="H91" s="63" t="str">
        <f t="shared" ca="1" si="3"/>
        <v>NF107</v>
      </c>
      <c r="I91" s="63" t="str">
        <f t="shared" ca="1" si="4"/>
        <v>OC85</v>
      </c>
      <c r="J91" s="61"/>
    </row>
    <row r="92" spans="2:10">
      <c r="B92" s="59">
        <v>44284</v>
      </c>
      <c r="C92" s="62">
        <f>MONTH(ENTRADAS[[#This Row],[Data da Compra]])</f>
        <v>3</v>
      </c>
      <c r="D92" s="62">
        <f>YEAR(ENTRADAS[[#This Row],[Data da Compra]])</f>
        <v>2021</v>
      </c>
      <c r="E92" s="71" t="s">
        <v>94</v>
      </c>
      <c r="F92" s="4" t="s">
        <v>98</v>
      </c>
      <c r="G92" s="61">
        <v>36</v>
      </c>
      <c r="H92" s="63" t="str">
        <f t="shared" ca="1" si="3"/>
        <v>NF35</v>
      </c>
      <c r="I92" s="63" t="str">
        <f t="shared" ca="1" si="4"/>
        <v>OC131</v>
      </c>
      <c r="J92" s="61"/>
    </row>
    <row r="93" spans="2:10">
      <c r="B93" s="59">
        <v>44285</v>
      </c>
      <c r="C93" s="62">
        <f>MONTH(ENTRADAS[[#This Row],[Data da Compra]])</f>
        <v>3</v>
      </c>
      <c r="D93" s="62">
        <f>YEAR(ENTRADAS[[#This Row],[Data da Compra]])</f>
        <v>2021</v>
      </c>
      <c r="E93" s="71" t="s">
        <v>96</v>
      </c>
      <c r="F93" s="4" t="s">
        <v>98</v>
      </c>
      <c r="G93" s="61">
        <v>8</v>
      </c>
      <c r="H93" s="63" t="str">
        <f t="shared" ca="1" si="3"/>
        <v>NF96</v>
      </c>
      <c r="I93" s="63" t="str">
        <f t="shared" ca="1" si="4"/>
        <v>OC115</v>
      </c>
      <c r="J93" s="61"/>
    </row>
    <row r="94" spans="2:10">
      <c r="B94" s="59">
        <v>44286</v>
      </c>
      <c r="C94" s="62">
        <f>MONTH(ENTRADAS[[#This Row],[Data da Compra]])</f>
        <v>3</v>
      </c>
      <c r="D94" s="62">
        <f>YEAR(ENTRADAS[[#This Row],[Data da Compra]])</f>
        <v>2021</v>
      </c>
      <c r="E94" s="71" t="s">
        <v>86</v>
      </c>
      <c r="F94" s="4" t="s">
        <v>101</v>
      </c>
      <c r="G94" s="61">
        <v>35</v>
      </c>
      <c r="H94" s="63" t="str">
        <f t="shared" ca="1" si="3"/>
        <v>NF8</v>
      </c>
      <c r="I94" s="63" t="str">
        <f t="shared" ca="1" si="4"/>
        <v>OC24</v>
      </c>
      <c r="J94" s="61"/>
    </row>
    <row r="95" spans="2:10">
      <c r="B95" s="59">
        <v>44287</v>
      </c>
      <c r="C95" s="62">
        <f>MONTH(ENTRADAS[[#This Row],[Data da Compra]])</f>
        <v>4</v>
      </c>
      <c r="D95" s="62">
        <f>YEAR(ENTRADAS[[#This Row],[Data da Compra]])</f>
        <v>2021</v>
      </c>
      <c r="E95" s="71" t="s">
        <v>87</v>
      </c>
      <c r="F95" s="4" t="s">
        <v>102</v>
      </c>
      <c r="G95" s="61">
        <v>42</v>
      </c>
      <c r="H95" s="63" t="str">
        <f t="shared" ca="1" si="3"/>
        <v>NF2</v>
      </c>
      <c r="I95" s="63" t="str">
        <f t="shared" ca="1" si="4"/>
        <v>OC79</v>
      </c>
      <c r="J95" s="61"/>
    </row>
    <row r="96" spans="2:10">
      <c r="B96" s="59">
        <v>44288</v>
      </c>
      <c r="C96" s="62">
        <f>MONTH(ENTRADAS[[#This Row],[Data da Compra]])</f>
        <v>4</v>
      </c>
      <c r="D96" s="62">
        <f>YEAR(ENTRADAS[[#This Row],[Data da Compra]])</f>
        <v>2021</v>
      </c>
      <c r="E96" s="71" t="s">
        <v>83</v>
      </c>
      <c r="F96" s="4" t="s">
        <v>101</v>
      </c>
      <c r="G96" s="61">
        <v>2</v>
      </c>
      <c r="H96" s="63" t="str">
        <f t="shared" ca="1" si="3"/>
        <v>NF21</v>
      </c>
      <c r="I96" s="63" t="str">
        <f t="shared" ca="1" si="4"/>
        <v>OC76</v>
      </c>
      <c r="J96" s="61"/>
    </row>
    <row r="97" spans="2:10">
      <c r="B97" s="59">
        <v>44289</v>
      </c>
      <c r="C97" s="62">
        <f>MONTH(ENTRADAS[[#This Row],[Data da Compra]])</f>
        <v>4</v>
      </c>
      <c r="D97" s="62">
        <f>YEAR(ENTRADAS[[#This Row],[Data da Compra]])</f>
        <v>2021</v>
      </c>
      <c r="E97" s="71" t="s">
        <v>84</v>
      </c>
      <c r="F97" s="4" t="s">
        <v>98</v>
      </c>
      <c r="G97" s="61">
        <v>6</v>
      </c>
      <c r="H97" s="63" t="str">
        <f t="shared" ca="1" si="3"/>
        <v>NF118</v>
      </c>
      <c r="I97" s="63" t="str">
        <f t="shared" ca="1" si="4"/>
        <v>OC93</v>
      </c>
      <c r="J97" s="61"/>
    </row>
    <row r="98" spans="2:10">
      <c r="B98" s="59">
        <v>44290</v>
      </c>
      <c r="C98" s="62">
        <f>MONTH(ENTRADAS[[#This Row],[Data da Compra]])</f>
        <v>4</v>
      </c>
      <c r="D98" s="62">
        <f>YEAR(ENTRADAS[[#This Row],[Data da Compra]])</f>
        <v>2021</v>
      </c>
      <c r="E98" s="71" t="s">
        <v>83</v>
      </c>
      <c r="F98" s="4" t="s">
        <v>100</v>
      </c>
      <c r="G98" s="61">
        <v>2</v>
      </c>
      <c r="H98" s="63" t="str">
        <f t="shared" ca="1" si="3"/>
        <v>NF146</v>
      </c>
      <c r="I98" s="63" t="str">
        <f t="shared" ca="1" si="4"/>
        <v>OC90</v>
      </c>
      <c r="J98" s="61"/>
    </row>
    <row r="99" spans="2:10">
      <c r="B99" s="59">
        <v>44291</v>
      </c>
      <c r="C99" s="62">
        <f>MONTH(ENTRADAS[[#This Row],[Data da Compra]])</f>
        <v>4</v>
      </c>
      <c r="D99" s="62">
        <f>YEAR(ENTRADAS[[#This Row],[Data da Compra]])</f>
        <v>2021</v>
      </c>
      <c r="E99" s="71" t="s">
        <v>83</v>
      </c>
      <c r="F99" s="4" t="s">
        <v>103</v>
      </c>
      <c r="G99" s="61">
        <v>2</v>
      </c>
      <c r="H99" s="63" t="str">
        <f t="shared" ca="1" si="3"/>
        <v>NF129</v>
      </c>
      <c r="I99" s="63" t="str">
        <f t="shared" ca="1" si="4"/>
        <v>OC72</v>
      </c>
      <c r="J99" s="61"/>
    </row>
    <row r="100" spans="2:10">
      <c r="B100" s="59">
        <v>44292</v>
      </c>
      <c r="C100" s="62">
        <f>MONTH(ENTRADAS[[#This Row],[Data da Compra]])</f>
        <v>4</v>
      </c>
      <c r="D100" s="62">
        <f>YEAR(ENTRADAS[[#This Row],[Data da Compra]])</f>
        <v>2021</v>
      </c>
      <c r="E100" s="71" t="s">
        <v>87</v>
      </c>
      <c r="F100" s="4" t="s">
        <v>103</v>
      </c>
      <c r="G100" s="61">
        <v>14</v>
      </c>
      <c r="H100" s="63" t="str">
        <f t="shared" ca="1" si="3"/>
        <v>NF12</v>
      </c>
      <c r="I100" s="63" t="str">
        <f t="shared" ca="1" si="4"/>
        <v>OC46</v>
      </c>
      <c r="J100" s="61"/>
    </row>
    <row r="101" spans="2:10">
      <c r="B101" s="59">
        <v>44293</v>
      </c>
      <c r="C101" s="62">
        <f>MONTH(ENTRADAS[[#This Row],[Data da Compra]])</f>
        <v>4</v>
      </c>
      <c r="D101" s="62">
        <f>YEAR(ENTRADAS[[#This Row],[Data da Compra]])</f>
        <v>2021</v>
      </c>
      <c r="E101" s="71" t="s">
        <v>86</v>
      </c>
      <c r="F101" s="4" t="s">
        <v>100</v>
      </c>
      <c r="G101" s="61">
        <v>18</v>
      </c>
      <c r="H101" s="63" t="str">
        <f t="shared" ref="H101:H132" ca="1" si="5">"NF"&amp;RANDBETWEEN(1,147)</f>
        <v>NF146</v>
      </c>
      <c r="I101" s="63" t="str">
        <f t="shared" ca="1" si="4"/>
        <v>OC71</v>
      </c>
      <c r="J101" s="61"/>
    </row>
    <row r="102" spans="2:10">
      <c r="B102" s="59">
        <v>44294</v>
      </c>
      <c r="C102" s="62">
        <f>MONTH(ENTRADAS[[#This Row],[Data da Compra]])</f>
        <v>4</v>
      </c>
      <c r="D102" s="62">
        <f>YEAR(ENTRADAS[[#This Row],[Data da Compra]])</f>
        <v>2021</v>
      </c>
      <c r="E102" s="71" t="s">
        <v>88</v>
      </c>
      <c r="F102" s="4" t="s">
        <v>103</v>
      </c>
      <c r="G102" s="61">
        <v>18</v>
      </c>
      <c r="H102" s="63" t="str">
        <f t="shared" ca="1" si="5"/>
        <v>NF73</v>
      </c>
      <c r="I102" s="63" t="str">
        <f t="shared" ca="1" si="4"/>
        <v>OC135</v>
      </c>
      <c r="J102" s="61"/>
    </row>
    <row r="103" spans="2:10">
      <c r="B103" s="59">
        <v>44295</v>
      </c>
      <c r="C103" s="62">
        <f>MONTH(ENTRADAS[[#This Row],[Data da Compra]])</f>
        <v>4</v>
      </c>
      <c r="D103" s="62">
        <f>YEAR(ENTRADAS[[#This Row],[Data da Compra]])</f>
        <v>2021</v>
      </c>
      <c r="E103" s="71" t="s">
        <v>85</v>
      </c>
      <c r="F103" s="4" t="s">
        <v>101</v>
      </c>
      <c r="G103" s="61">
        <v>45</v>
      </c>
      <c r="H103" s="63" t="str">
        <f t="shared" ca="1" si="5"/>
        <v>NF48</v>
      </c>
      <c r="I103" s="63" t="str">
        <f t="shared" ca="1" si="4"/>
        <v>OC123</v>
      </c>
      <c r="J103" s="61"/>
    </row>
    <row r="104" spans="2:10">
      <c r="B104" s="59">
        <v>44296</v>
      </c>
      <c r="C104" s="62">
        <f>MONTH(ENTRADAS[[#This Row],[Data da Compra]])</f>
        <v>4</v>
      </c>
      <c r="D104" s="62">
        <f>YEAR(ENTRADAS[[#This Row],[Data da Compra]])</f>
        <v>2021</v>
      </c>
      <c r="E104" s="71" t="s">
        <v>91</v>
      </c>
      <c r="F104" s="4" t="s">
        <v>99</v>
      </c>
      <c r="G104" s="61">
        <v>10</v>
      </c>
      <c r="H104" s="63" t="str">
        <f t="shared" ca="1" si="5"/>
        <v>NF3</v>
      </c>
      <c r="I104" s="63" t="str">
        <f t="shared" ca="1" si="4"/>
        <v>OC99</v>
      </c>
      <c r="J104" s="61"/>
    </row>
    <row r="105" spans="2:10">
      <c r="B105" s="59">
        <v>44297</v>
      </c>
      <c r="C105" s="62">
        <f>MONTH(ENTRADAS[[#This Row],[Data da Compra]])</f>
        <v>4</v>
      </c>
      <c r="D105" s="62">
        <f>YEAR(ENTRADAS[[#This Row],[Data da Compra]])</f>
        <v>2021</v>
      </c>
      <c r="E105" s="71" t="s">
        <v>97</v>
      </c>
      <c r="F105" s="4" t="s">
        <v>102</v>
      </c>
      <c r="G105" s="61">
        <v>39</v>
      </c>
      <c r="H105" s="63" t="str">
        <f t="shared" ca="1" si="5"/>
        <v>NF88</v>
      </c>
      <c r="I105" s="63" t="str">
        <f t="shared" ca="1" si="4"/>
        <v>OC94</v>
      </c>
      <c r="J105" s="61"/>
    </row>
    <row r="106" spans="2:10">
      <c r="B106" s="59">
        <v>44298</v>
      </c>
      <c r="C106" s="62">
        <f>MONTH(ENTRADAS[[#This Row],[Data da Compra]])</f>
        <v>4</v>
      </c>
      <c r="D106" s="62">
        <f>YEAR(ENTRADAS[[#This Row],[Data da Compra]])</f>
        <v>2021</v>
      </c>
      <c r="E106" s="71" t="s">
        <v>92</v>
      </c>
      <c r="F106" s="4" t="s">
        <v>99</v>
      </c>
      <c r="G106" s="61">
        <v>35</v>
      </c>
      <c r="H106" s="63" t="str">
        <f t="shared" ca="1" si="5"/>
        <v>NF145</v>
      </c>
      <c r="I106" s="63" t="str">
        <f t="shared" ca="1" si="4"/>
        <v>OC117</v>
      </c>
      <c r="J106" s="61"/>
    </row>
    <row r="107" spans="2:10">
      <c r="B107" s="59">
        <v>44299</v>
      </c>
      <c r="C107" s="62">
        <f>MONTH(ENTRADAS[[#This Row],[Data da Compra]])</f>
        <v>4</v>
      </c>
      <c r="D107" s="62">
        <f>YEAR(ENTRADAS[[#This Row],[Data da Compra]])</f>
        <v>2021</v>
      </c>
      <c r="E107" s="71" t="s">
        <v>96</v>
      </c>
      <c r="F107" s="4" t="s">
        <v>101</v>
      </c>
      <c r="G107" s="61">
        <v>37</v>
      </c>
      <c r="H107" s="63" t="str">
        <f t="shared" ca="1" si="5"/>
        <v>NF11</v>
      </c>
      <c r="I107" s="63" t="str">
        <f t="shared" ca="1" si="4"/>
        <v>OC127</v>
      </c>
      <c r="J107" s="61"/>
    </row>
    <row r="108" spans="2:10">
      <c r="B108" s="59">
        <v>44300</v>
      </c>
      <c r="C108" s="62">
        <f>MONTH(ENTRADAS[[#This Row],[Data da Compra]])</f>
        <v>4</v>
      </c>
      <c r="D108" s="62">
        <f>YEAR(ENTRADAS[[#This Row],[Data da Compra]])</f>
        <v>2021</v>
      </c>
      <c r="E108" s="71" t="s">
        <v>86</v>
      </c>
      <c r="F108" s="4" t="s">
        <v>100</v>
      </c>
      <c r="G108" s="61">
        <v>32</v>
      </c>
      <c r="H108" s="63" t="str">
        <f t="shared" ca="1" si="5"/>
        <v>NF127</v>
      </c>
      <c r="I108" s="63" t="str">
        <f t="shared" ca="1" si="4"/>
        <v>OC119</v>
      </c>
      <c r="J108" s="61"/>
    </row>
    <row r="109" spans="2:10">
      <c r="B109" s="59">
        <v>44301</v>
      </c>
      <c r="C109" s="62">
        <f>MONTH(ENTRADAS[[#This Row],[Data da Compra]])</f>
        <v>4</v>
      </c>
      <c r="D109" s="62">
        <f>YEAR(ENTRADAS[[#This Row],[Data da Compra]])</f>
        <v>2021</v>
      </c>
      <c r="E109" s="71" t="s">
        <v>88</v>
      </c>
      <c r="F109" s="4" t="s">
        <v>99</v>
      </c>
      <c r="G109" s="61">
        <v>10</v>
      </c>
      <c r="H109" s="63" t="str">
        <f t="shared" ca="1" si="5"/>
        <v>NF79</v>
      </c>
      <c r="I109" s="63" t="str">
        <f t="shared" ca="1" si="4"/>
        <v>OC141</v>
      </c>
      <c r="J109" s="61"/>
    </row>
    <row r="110" spans="2:10">
      <c r="B110" s="59">
        <v>44302</v>
      </c>
      <c r="C110" s="62">
        <f>MONTH(ENTRADAS[[#This Row],[Data da Compra]])</f>
        <v>4</v>
      </c>
      <c r="D110" s="62">
        <f>YEAR(ENTRADAS[[#This Row],[Data da Compra]])</f>
        <v>2021</v>
      </c>
      <c r="E110" s="71" t="s">
        <v>96</v>
      </c>
      <c r="F110" s="4" t="s">
        <v>99</v>
      </c>
      <c r="G110" s="61">
        <v>33</v>
      </c>
      <c r="H110" s="63" t="str">
        <f t="shared" ca="1" si="5"/>
        <v>NF129</v>
      </c>
      <c r="I110" s="63" t="str">
        <f t="shared" ca="1" si="4"/>
        <v>OC50</v>
      </c>
      <c r="J110" s="61"/>
    </row>
    <row r="111" spans="2:10">
      <c r="B111" s="59">
        <v>44303</v>
      </c>
      <c r="C111" s="62">
        <f>MONTH(ENTRADAS[[#This Row],[Data da Compra]])</f>
        <v>4</v>
      </c>
      <c r="D111" s="62">
        <f>YEAR(ENTRADAS[[#This Row],[Data da Compra]])</f>
        <v>2021</v>
      </c>
      <c r="E111" s="71" t="s">
        <v>87</v>
      </c>
      <c r="F111" s="4" t="s">
        <v>99</v>
      </c>
      <c r="G111" s="61">
        <v>6</v>
      </c>
      <c r="H111" s="63" t="str">
        <f t="shared" ca="1" si="5"/>
        <v>NF36</v>
      </c>
      <c r="I111" s="63" t="str">
        <f t="shared" ca="1" si="4"/>
        <v>OC103</v>
      </c>
      <c r="J111" s="61"/>
    </row>
    <row r="112" spans="2:10">
      <c r="B112" s="59">
        <v>44304</v>
      </c>
      <c r="C112" s="62">
        <f>MONTH(ENTRADAS[[#This Row],[Data da Compra]])</f>
        <v>4</v>
      </c>
      <c r="D112" s="62">
        <f>YEAR(ENTRADAS[[#This Row],[Data da Compra]])</f>
        <v>2021</v>
      </c>
      <c r="E112" s="71" t="s">
        <v>83</v>
      </c>
      <c r="F112" s="4" t="s">
        <v>102</v>
      </c>
      <c r="G112" s="61">
        <v>2</v>
      </c>
      <c r="H112" s="63" t="str">
        <f t="shared" ca="1" si="5"/>
        <v>NF127</v>
      </c>
      <c r="I112" s="63" t="str">
        <f t="shared" ca="1" si="4"/>
        <v>OC52</v>
      </c>
      <c r="J112" s="61"/>
    </row>
    <row r="113" spans="2:10">
      <c r="B113" s="59">
        <v>44305</v>
      </c>
      <c r="C113" s="62">
        <f>MONTH(ENTRADAS[[#This Row],[Data da Compra]])</f>
        <v>4</v>
      </c>
      <c r="D113" s="62">
        <f>YEAR(ENTRADAS[[#This Row],[Data da Compra]])</f>
        <v>2021</v>
      </c>
      <c r="E113" s="71" t="s">
        <v>90</v>
      </c>
      <c r="F113" s="4" t="s">
        <v>102</v>
      </c>
      <c r="G113" s="61">
        <v>43</v>
      </c>
      <c r="H113" s="63" t="str">
        <f t="shared" ca="1" si="5"/>
        <v>NF68</v>
      </c>
      <c r="I113" s="63" t="str">
        <f t="shared" ca="1" si="4"/>
        <v>OC105</v>
      </c>
      <c r="J113" s="61"/>
    </row>
    <row r="114" spans="2:10">
      <c r="B114" s="59">
        <v>44306</v>
      </c>
      <c r="C114" s="62">
        <f>MONTH(ENTRADAS[[#This Row],[Data da Compra]])</f>
        <v>4</v>
      </c>
      <c r="D114" s="62">
        <f>YEAR(ENTRADAS[[#This Row],[Data da Compra]])</f>
        <v>2021</v>
      </c>
      <c r="E114" s="71" t="s">
        <v>87</v>
      </c>
      <c r="F114" s="4" t="s">
        <v>99</v>
      </c>
      <c r="G114" s="61">
        <v>15</v>
      </c>
      <c r="H114" s="63" t="str">
        <f t="shared" ca="1" si="5"/>
        <v>NF123</v>
      </c>
      <c r="I114" s="63" t="str">
        <f t="shared" ca="1" si="4"/>
        <v>OC18</v>
      </c>
      <c r="J114" s="61"/>
    </row>
    <row r="115" spans="2:10">
      <c r="B115" s="59">
        <v>44307</v>
      </c>
      <c r="C115" s="62">
        <f>MONTH(ENTRADAS[[#This Row],[Data da Compra]])</f>
        <v>4</v>
      </c>
      <c r="D115" s="62">
        <f>YEAR(ENTRADAS[[#This Row],[Data da Compra]])</f>
        <v>2021</v>
      </c>
      <c r="E115" s="71" t="s">
        <v>82</v>
      </c>
      <c r="F115" s="4" t="s">
        <v>98</v>
      </c>
      <c r="G115" s="61">
        <v>4</v>
      </c>
      <c r="H115" s="63" t="str">
        <f t="shared" ca="1" si="5"/>
        <v>NF73</v>
      </c>
      <c r="I115" s="63" t="str">
        <f t="shared" ca="1" si="4"/>
        <v>OC16</v>
      </c>
      <c r="J115" s="61"/>
    </row>
    <row r="116" spans="2:10">
      <c r="B116" s="59">
        <v>44308</v>
      </c>
      <c r="C116" s="62">
        <f>MONTH(ENTRADAS[[#This Row],[Data da Compra]])</f>
        <v>4</v>
      </c>
      <c r="D116" s="62">
        <f>YEAR(ENTRADAS[[#This Row],[Data da Compra]])</f>
        <v>2021</v>
      </c>
      <c r="E116" s="71" t="s">
        <v>89</v>
      </c>
      <c r="F116" s="4" t="s">
        <v>102</v>
      </c>
      <c r="G116" s="61">
        <v>17</v>
      </c>
      <c r="H116" s="63" t="str">
        <f t="shared" ca="1" si="5"/>
        <v>NF140</v>
      </c>
      <c r="I116" s="63" t="str">
        <f t="shared" ca="1" si="4"/>
        <v>OC2</v>
      </c>
      <c r="J116" s="61"/>
    </row>
    <row r="117" spans="2:10">
      <c r="B117" s="59">
        <v>44309</v>
      </c>
      <c r="C117" s="62">
        <f>MONTH(ENTRADAS[[#This Row],[Data da Compra]])</f>
        <v>4</v>
      </c>
      <c r="D117" s="62">
        <f>YEAR(ENTRADAS[[#This Row],[Data da Compra]])</f>
        <v>2021</v>
      </c>
      <c r="E117" s="71" t="s">
        <v>94</v>
      </c>
      <c r="F117" s="4" t="s">
        <v>102</v>
      </c>
      <c r="G117" s="61">
        <v>17</v>
      </c>
      <c r="H117" s="63" t="str">
        <f t="shared" ca="1" si="5"/>
        <v>NF55</v>
      </c>
      <c r="I117" s="63" t="str">
        <f t="shared" ca="1" si="4"/>
        <v>OC7</v>
      </c>
      <c r="J117" s="61"/>
    </row>
    <row r="118" spans="2:10">
      <c r="B118" s="59">
        <v>44310</v>
      </c>
      <c r="C118" s="62">
        <f>MONTH(ENTRADAS[[#This Row],[Data da Compra]])</f>
        <v>4</v>
      </c>
      <c r="D118" s="62">
        <f>YEAR(ENTRADAS[[#This Row],[Data da Compra]])</f>
        <v>2021</v>
      </c>
      <c r="E118" s="71" t="s">
        <v>91</v>
      </c>
      <c r="F118" s="4" t="s">
        <v>99</v>
      </c>
      <c r="G118" s="61">
        <v>12</v>
      </c>
      <c r="H118" s="63" t="str">
        <f t="shared" ca="1" si="5"/>
        <v>NF134</v>
      </c>
      <c r="I118" s="63" t="str">
        <f t="shared" ca="1" si="4"/>
        <v>OC109</v>
      </c>
      <c r="J118" s="61"/>
    </row>
    <row r="119" spans="2:10">
      <c r="B119" s="59">
        <v>44311</v>
      </c>
      <c r="C119" s="62">
        <f>MONTH(ENTRADAS[[#This Row],[Data da Compra]])</f>
        <v>4</v>
      </c>
      <c r="D119" s="62">
        <f>YEAR(ENTRADAS[[#This Row],[Data da Compra]])</f>
        <v>2021</v>
      </c>
      <c r="E119" s="71" t="s">
        <v>87</v>
      </c>
      <c r="F119" s="4" t="s">
        <v>99</v>
      </c>
      <c r="G119" s="61">
        <v>3</v>
      </c>
      <c r="H119" s="63" t="str">
        <f t="shared" ca="1" si="5"/>
        <v>NF19</v>
      </c>
      <c r="I119" s="63" t="str">
        <f t="shared" ca="1" si="4"/>
        <v>OC38</v>
      </c>
      <c r="J119" s="61"/>
    </row>
    <row r="120" spans="2:10">
      <c r="B120" s="59">
        <v>44312</v>
      </c>
      <c r="C120" s="62">
        <f>MONTH(ENTRADAS[[#This Row],[Data da Compra]])</f>
        <v>4</v>
      </c>
      <c r="D120" s="62">
        <f>YEAR(ENTRADAS[[#This Row],[Data da Compra]])</f>
        <v>2021</v>
      </c>
      <c r="E120" s="71" t="s">
        <v>86</v>
      </c>
      <c r="F120" s="4" t="s">
        <v>99</v>
      </c>
      <c r="G120" s="61">
        <v>16</v>
      </c>
      <c r="H120" s="63" t="str">
        <f t="shared" ca="1" si="5"/>
        <v>NF137</v>
      </c>
      <c r="I120" s="63" t="str">
        <f t="shared" ca="1" si="4"/>
        <v>OC93</v>
      </c>
      <c r="J120" s="61"/>
    </row>
    <row r="121" spans="2:10">
      <c r="B121" s="59">
        <v>44313</v>
      </c>
      <c r="C121" s="62">
        <f>MONTH(ENTRADAS[[#This Row],[Data da Compra]])</f>
        <v>4</v>
      </c>
      <c r="D121" s="62">
        <f>YEAR(ENTRADAS[[#This Row],[Data da Compra]])</f>
        <v>2021</v>
      </c>
      <c r="E121" s="71" t="s">
        <v>82</v>
      </c>
      <c r="F121" s="4" t="s">
        <v>102</v>
      </c>
      <c r="G121" s="61">
        <v>21</v>
      </c>
      <c r="H121" s="63" t="str">
        <f t="shared" ca="1" si="5"/>
        <v>NF125</v>
      </c>
      <c r="I121" s="63" t="str">
        <f t="shared" ca="1" si="4"/>
        <v>OC75</v>
      </c>
      <c r="J121" s="61"/>
    </row>
    <row r="122" spans="2:10">
      <c r="B122" s="59">
        <v>44314</v>
      </c>
      <c r="C122" s="62">
        <f>MONTH(ENTRADAS[[#This Row],[Data da Compra]])</f>
        <v>4</v>
      </c>
      <c r="D122" s="62">
        <f>YEAR(ENTRADAS[[#This Row],[Data da Compra]])</f>
        <v>2021</v>
      </c>
      <c r="E122" s="71" t="s">
        <v>90</v>
      </c>
      <c r="F122" s="4" t="s">
        <v>102</v>
      </c>
      <c r="G122" s="61">
        <v>28</v>
      </c>
      <c r="H122" s="63" t="str">
        <f t="shared" ca="1" si="5"/>
        <v>NF31</v>
      </c>
      <c r="I122" s="63" t="str">
        <f t="shared" ca="1" si="4"/>
        <v>OC25</v>
      </c>
      <c r="J122" s="61"/>
    </row>
    <row r="123" spans="2:10">
      <c r="B123" s="59">
        <v>44315</v>
      </c>
      <c r="C123" s="62">
        <f>MONTH(ENTRADAS[[#This Row],[Data da Compra]])</f>
        <v>4</v>
      </c>
      <c r="D123" s="62">
        <f>YEAR(ENTRADAS[[#This Row],[Data da Compra]])</f>
        <v>2021</v>
      </c>
      <c r="E123" s="71" t="s">
        <v>86</v>
      </c>
      <c r="F123" s="4" t="s">
        <v>103</v>
      </c>
      <c r="G123" s="61">
        <v>27</v>
      </c>
      <c r="H123" s="63" t="str">
        <f t="shared" ca="1" si="5"/>
        <v>NF146</v>
      </c>
      <c r="I123" s="63" t="str">
        <f t="shared" ca="1" si="4"/>
        <v>OC20</v>
      </c>
      <c r="J123" s="61"/>
    </row>
    <row r="124" spans="2:10">
      <c r="B124" s="59">
        <v>44316</v>
      </c>
      <c r="C124" s="62">
        <f>MONTH(ENTRADAS[[#This Row],[Data da Compra]])</f>
        <v>4</v>
      </c>
      <c r="D124" s="62">
        <f>YEAR(ENTRADAS[[#This Row],[Data da Compra]])</f>
        <v>2021</v>
      </c>
      <c r="E124" s="71" t="s">
        <v>88</v>
      </c>
      <c r="F124" s="4" t="s">
        <v>99</v>
      </c>
      <c r="G124" s="61">
        <v>34</v>
      </c>
      <c r="H124" s="63" t="str">
        <f t="shared" ca="1" si="5"/>
        <v>NF142</v>
      </c>
      <c r="I124" s="63" t="str">
        <f t="shared" ca="1" si="4"/>
        <v>OC58</v>
      </c>
      <c r="J124" s="61"/>
    </row>
    <row r="125" spans="2:10">
      <c r="B125" s="59">
        <v>44317</v>
      </c>
      <c r="C125" s="62">
        <f>MONTH(ENTRADAS[[#This Row],[Data da Compra]])</f>
        <v>5</v>
      </c>
      <c r="D125" s="62">
        <f>YEAR(ENTRADAS[[#This Row],[Data da Compra]])</f>
        <v>2021</v>
      </c>
      <c r="E125" s="71" t="s">
        <v>93</v>
      </c>
      <c r="F125" s="4" t="s">
        <v>103</v>
      </c>
      <c r="G125" s="61">
        <v>45</v>
      </c>
      <c r="H125" s="63" t="str">
        <f t="shared" ca="1" si="5"/>
        <v>NF61</v>
      </c>
      <c r="I125" s="63" t="str">
        <f t="shared" ca="1" si="4"/>
        <v>OC29</v>
      </c>
      <c r="J125" s="61"/>
    </row>
    <row r="126" spans="2:10">
      <c r="B126" s="59">
        <v>44318</v>
      </c>
      <c r="C126" s="62">
        <f>MONTH(ENTRADAS[[#This Row],[Data da Compra]])</f>
        <v>5</v>
      </c>
      <c r="D126" s="62">
        <f>YEAR(ENTRADAS[[#This Row],[Data da Compra]])</f>
        <v>2021</v>
      </c>
      <c r="E126" s="71" t="s">
        <v>96</v>
      </c>
      <c r="F126" s="4" t="s">
        <v>100</v>
      </c>
      <c r="G126" s="61">
        <v>23</v>
      </c>
      <c r="H126" s="63" t="str">
        <f t="shared" ca="1" si="5"/>
        <v>NF87</v>
      </c>
      <c r="I126" s="63" t="str">
        <f t="shared" ca="1" si="4"/>
        <v>OC25</v>
      </c>
      <c r="J126" s="61"/>
    </row>
    <row r="127" spans="2:10">
      <c r="B127" s="59">
        <v>44319</v>
      </c>
      <c r="C127" s="62">
        <f>MONTH(ENTRADAS[[#This Row],[Data da Compra]])</f>
        <v>5</v>
      </c>
      <c r="D127" s="62">
        <f>YEAR(ENTRADAS[[#This Row],[Data da Compra]])</f>
        <v>2021</v>
      </c>
      <c r="E127" s="71" t="s">
        <v>86</v>
      </c>
      <c r="F127" s="4" t="s">
        <v>98</v>
      </c>
      <c r="G127" s="61">
        <v>42</v>
      </c>
      <c r="H127" s="63" t="str">
        <f t="shared" ca="1" si="5"/>
        <v>NF95</v>
      </c>
      <c r="I127" s="63" t="str">
        <f t="shared" ca="1" si="4"/>
        <v>OC19</v>
      </c>
      <c r="J127" s="61"/>
    </row>
    <row r="128" spans="2:10">
      <c r="B128" s="59">
        <v>44320</v>
      </c>
      <c r="C128" s="62">
        <f>MONTH(ENTRADAS[[#This Row],[Data da Compra]])</f>
        <v>5</v>
      </c>
      <c r="D128" s="62">
        <f>YEAR(ENTRADAS[[#This Row],[Data da Compra]])</f>
        <v>2021</v>
      </c>
      <c r="E128" s="71" t="s">
        <v>90</v>
      </c>
      <c r="F128" s="4" t="s">
        <v>102</v>
      </c>
      <c r="G128" s="61">
        <v>41</v>
      </c>
      <c r="H128" s="63" t="str">
        <f t="shared" ca="1" si="5"/>
        <v>NF57</v>
      </c>
      <c r="I128" s="63" t="str">
        <f t="shared" ca="1" si="4"/>
        <v>OC11</v>
      </c>
      <c r="J128" s="61"/>
    </row>
    <row r="129" spans="2:10">
      <c r="B129" s="59">
        <v>44321</v>
      </c>
      <c r="C129" s="62">
        <f>MONTH(ENTRADAS[[#This Row],[Data da Compra]])</f>
        <v>5</v>
      </c>
      <c r="D129" s="62">
        <f>YEAR(ENTRADAS[[#This Row],[Data da Compra]])</f>
        <v>2021</v>
      </c>
      <c r="E129" s="71" t="s">
        <v>86</v>
      </c>
      <c r="F129" s="4" t="s">
        <v>101</v>
      </c>
      <c r="G129" s="61">
        <v>33</v>
      </c>
      <c r="H129" s="63" t="str">
        <f t="shared" ca="1" si="5"/>
        <v>NF69</v>
      </c>
      <c r="I129" s="63" t="str">
        <f t="shared" ca="1" si="4"/>
        <v>OC50</v>
      </c>
      <c r="J129" s="61"/>
    </row>
    <row r="130" spans="2:10">
      <c r="B130" s="59">
        <v>44322</v>
      </c>
      <c r="C130" s="62">
        <f>MONTH(ENTRADAS[[#This Row],[Data da Compra]])</f>
        <v>5</v>
      </c>
      <c r="D130" s="62">
        <f>YEAR(ENTRADAS[[#This Row],[Data da Compra]])</f>
        <v>2021</v>
      </c>
      <c r="E130" s="71" t="s">
        <v>93</v>
      </c>
      <c r="F130" s="4" t="s">
        <v>101</v>
      </c>
      <c r="G130" s="61">
        <v>19</v>
      </c>
      <c r="H130" s="63" t="str">
        <f t="shared" ca="1" si="5"/>
        <v>NF23</v>
      </c>
      <c r="I130" s="63" t="str">
        <f t="shared" ca="1" si="4"/>
        <v>OC98</v>
      </c>
      <c r="J130" s="61"/>
    </row>
    <row r="131" spans="2:10">
      <c r="B131" s="59">
        <v>44323</v>
      </c>
      <c r="C131" s="62">
        <f>MONTH(ENTRADAS[[#This Row],[Data da Compra]])</f>
        <v>5</v>
      </c>
      <c r="D131" s="62">
        <f>YEAR(ENTRADAS[[#This Row],[Data da Compra]])</f>
        <v>2021</v>
      </c>
      <c r="E131" s="71" t="s">
        <v>95</v>
      </c>
      <c r="F131" s="4" t="s">
        <v>101</v>
      </c>
      <c r="G131" s="61">
        <v>5</v>
      </c>
      <c r="H131" s="63" t="str">
        <f t="shared" ca="1" si="5"/>
        <v>NF39</v>
      </c>
      <c r="I131" s="63" t="str">
        <f t="shared" ca="1" si="4"/>
        <v>OC29</v>
      </c>
      <c r="J131" s="61"/>
    </row>
    <row r="132" spans="2:10">
      <c r="B132" s="59">
        <v>44324</v>
      </c>
      <c r="C132" s="62">
        <f>MONTH(ENTRADAS[[#This Row],[Data da Compra]])</f>
        <v>5</v>
      </c>
      <c r="D132" s="62">
        <f>YEAR(ENTRADAS[[#This Row],[Data da Compra]])</f>
        <v>2021</v>
      </c>
      <c r="E132" s="71" t="s">
        <v>87</v>
      </c>
      <c r="F132" s="4" t="s">
        <v>98</v>
      </c>
      <c r="G132" s="61">
        <v>12</v>
      </c>
      <c r="H132" s="63" t="str">
        <f t="shared" ca="1" si="5"/>
        <v>NF67</v>
      </c>
      <c r="I132" s="63" t="str">
        <f t="shared" ca="1" si="4"/>
        <v>OC130</v>
      </c>
      <c r="J132" s="61"/>
    </row>
    <row r="133" spans="2:10">
      <c r="B133" s="59">
        <v>44325</v>
      </c>
      <c r="C133" s="62">
        <f>MONTH(ENTRADAS[[#This Row],[Data da Compra]])</f>
        <v>5</v>
      </c>
      <c r="D133" s="62">
        <f>YEAR(ENTRADAS[[#This Row],[Data da Compra]])</f>
        <v>2021</v>
      </c>
      <c r="E133" s="71" t="s">
        <v>83</v>
      </c>
      <c r="F133" s="4" t="s">
        <v>99</v>
      </c>
      <c r="G133" s="61">
        <v>2</v>
      </c>
      <c r="H133" s="63" t="str">
        <f t="shared" ref="H133:H165" ca="1" si="6">"NF"&amp;RANDBETWEEN(1,147)</f>
        <v>NF55</v>
      </c>
      <c r="I133" s="63" t="str">
        <f t="shared" ref="I133:I165" ca="1" si="7">"OC"&amp;RANDBETWEEN(1,147)</f>
        <v>OC91</v>
      </c>
      <c r="J133" s="61"/>
    </row>
    <row r="134" spans="2:10">
      <c r="B134" s="59">
        <v>44326</v>
      </c>
      <c r="C134" s="62">
        <f>MONTH(ENTRADAS[[#This Row],[Data da Compra]])</f>
        <v>5</v>
      </c>
      <c r="D134" s="62">
        <f>YEAR(ENTRADAS[[#This Row],[Data da Compra]])</f>
        <v>2021</v>
      </c>
      <c r="E134" s="71" t="s">
        <v>96</v>
      </c>
      <c r="F134" s="4" t="s">
        <v>102</v>
      </c>
      <c r="G134" s="61">
        <v>21</v>
      </c>
      <c r="H134" s="63" t="str">
        <f t="shared" ca="1" si="6"/>
        <v>NF65</v>
      </c>
      <c r="I134" s="63" t="str">
        <f t="shared" ca="1" si="7"/>
        <v>OC133</v>
      </c>
      <c r="J134" s="61"/>
    </row>
    <row r="135" spans="2:10">
      <c r="B135" s="59">
        <v>44327</v>
      </c>
      <c r="C135" s="62">
        <f>MONTH(ENTRADAS[[#This Row],[Data da Compra]])</f>
        <v>5</v>
      </c>
      <c r="D135" s="62">
        <f>YEAR(ENTRADAS[[#This Row],[Data da Compra]])</f>
        <v>2021</v>
      </c>
      <c r="E135" s="71" t="s">
        <v>93</v>
      </c>
      <c r="F135" s="4" t="s">
        <v>101</v>
      </c>
      <c r="G135" s="61">
        <v>32</v>
      </c>
      <c r="H135" s="63" t="str">
        <f t="shared" ca="1" si="6"/>
        <v>NF143</v>
      </c>
      <c r="I135" s="63" t="str">
        <f t="shared" ca="1" si="7"/>
        <v>OC5</v>
      </c>
      <c r="J135" s="61"/>
    </row>
    <row r="136" spans="2:10">
      <c r="B136" s="59">
        <v>44328</v>
      </c>
      <c r="C136" s="62">
        <f>MONTH(ENTRADAS[[#This Row],[Data da Compra]])</f>
        <v>5</v>
      </c>
      <c r="D136" s="62">
        <f>YEAR(ENTRADAS[[#This Row],[Data da Compra]])</f>
        <v>2021</v>
      </c>
      <c r="E136" s="71" t="s">
        <v>84</v>
      </c>
      <c r="F136" s="4" t="s">
        <v>101</v>
      </c>
      <c r="G136" s="61">
        <v>5</v>
      </c>
      <c r="H136" s="63" t="str">
        <f t="shared" ca="1" si="6"/>
        <v>NF55</v>
      </c>
      <c r="I136" s="63" t="str">
        <f t="shared" ca="1" si="7"/>
        <v>OC15</v>
      </c>
      <c r="J136" s="61"/>
    </row>
    <row r="137" spans="2:10">
      <c r="B137" s="59">
        <v>44329</v>
      </c>
      <c r="C137" s="62">
        <f>MONTH(ENTRADAS[[#This Row],[Data da Compra]])</f>
        <v>5</v>
      </c>
      <c r="D137" s="62">
        <f>YEAR(ENTRADAS[[#This Row],[Data da Compra]])</f>
        <v>2021</v>
      </c>
      <c r="E137" s="71" t="s">
        <v>92</v>
      </c>
      <c r="F137" s="4" t="s">
        <v>98</v>
      </c>
      <c r="G137" s="61">
        <v>11</v>
      </c>
      <c r="H137" s="63" t="str">
        <f t="shared" ca="1" si="6"/>
        <v>NF18</v>
      </c>
      <c r="I137" s="63" t="str">
        <f t="shared" ca="1" si="7"/>
        <v>OC32</v>
      </c>
      <c r="J137" s="61"/>
    </row>
    <row r="138" spans="2:10">
      <c r="B138" s="59">
        <v>44330</v>
      </c>
      <c r="C138" s="62">
        <f>MONTH(ENTRADAS[[#This Row],[Data da Compra]])</f>
        <v>5</v>
      </c>
      <c r="D138" s="62">
        <f>YEAR(ENTRADAS[[#This Row],[Data da Compra]])</f>
        <v>2021</v>
      </c>
      <c r="E138" s="71" t="s">
        <v>88</v>
      </c>
      <c r="F138" s="4" t="s">
        <v>100</v>
      </c>
      <c r="G138" s="61">
        <v>19</v>
      </c>
      <c r="H138" s="63" t="str">
        <f t="shared" ca="1" si="6"/>
        <v>NF95</v>
      </c>
      <c r="I138" s="63" t="str">
        <f t="shared" ca="1" si="7"/>
        <v>OC18</v>
      </c>
      <c r="J138" s="61"/>
    </row>
    <row r="139" spans="2:10">
      <c r="B139" s="59">
        <v>44331</v>
      </c>
      <c r="C139" s="62">
        <f>MONTH(ENTRADAS[[#This Row],[Data da Compra]])</f>
        <v>5</v>
      </c>
      <c r="D139" s="62">
        <f>YEAR(ENTRADAS[[#This Row],[Data da Compra]])</f>
        <v>2021</v>
      </c>
      <c r="E139" s="71" t="s">
        <v>95</v>
      </c>
      <c r="F139" s="4" t="s">
        <v>103</v>
      </c>
      <c r="G139" s="61">
        <v>19</v>
      </c>
      <c r="H139" s="63" t="str">
        <f t="shared" ca="1" si="6"/>
        <v>NF54</v>
      </c>
      <c r="I139" s="63" t="str">
        <f t="shared" ca="1" si="7"/>
        <v>OC145</v>
      </c>
      <c r="J139" s="61"/>
    </row>
    <row r="140" spans="2:10">
      <c r="B140" s="59">
        <v>44332</v>
      </c>
      <c r="C140" s="62">
        <f>MONTH(ENTRADAS[[#This Row],[Data da Compra]])</f>
        <v>5</v>
      </c>
      <c r="D140" s="62">
        <f>YEAR(ENTRADAS[[#This Row],[Data da Compra]])</f>
        <v>2021</v>
      </c>
      <c r="E140" s="71" t="s">
        <v>88</v>
      </c>
      <c r="F140" s="4" t="s">
        <v>100</v>
      </c>
      <c r="G140" s="61">
        <v>5</v>
      </c>
      <c r="H140" s="63" t="str">
        <f t="shared" ca="1" si="6"/>
        <v>NF26</v>
      </c>
      <c r="I140" s="63" t="str">
        <f t="shared" ca="1" si="7"/>
        <v>OC55</v>
      </c>
      <c r="J140" s="61"/>
    </row>
    <row r="141" spans="2:10">
      <c r="B141" s="59">
        <v>44333</v>
      </c>
      <c r="C141" s="62">
        <f>MONTH(ENTRADAS[[#This Row],[Data da Compra]])</f>
        <v>5</v>
      </c>
      <c r="D141" s="62">
        <f>YEAR(ENTRADAS[[#This Row],[Data da Compra]])</f>
        <v>2021</v>
      </c>
      <c r="E141" s="71" t="s">
        <v>96</v>
      </c>
      <c r="F141" s="4" t="s">
        <v>101</v>
      </c>
      <c r="G141" s="61">
        <v>1</v>
      </c>
      <c r="H141" s="63" t="str">
        <f t="shared" ca="1" si="6"/>
        <v>NF50</v>
      </c>
      <c r="I141" s="63" t="str">
        <f t="shared" ca="1" si="7"/>
        <v>OC129</v>
      </c>
      <c r="J141" s="61"/>
    </row>
    <row r="142" spans="2:10">
      <c r="B142" s="59">
        <v>44334</v>
      </c>
      <c r="C142" s="62">
        <f>MONTH(ENTRADAS[[#This Row],[Data da Compra]])</f>
        <v>5</v>
      </c>
      <c r="D142" s="62">
        <f>YEAR(ENTRADAS[[#This Row],[Data da Compra]])</f>
        <v>2021</v>
      </c>
      <c r="E142" s="71" t="s">
        <v>83</v>
      </c>
      <c r="F142" s="4" t="s">
        <v>102</v>
      </c>
      <c r="G142" s="61">
        <v>2</v>
      </c>
      <c r="H142" s="63" t="str">
        <f t="shared" ca="1" si="6"/>
        <v>NF97</v>
      </c>
      <c r="I142" s="63" t="str">
        <f t="shared" ca="1" si="7"/>
        <v>OC105</v>
      </c>
      <c r="J142" s="61"/>
    </row>
    <row r="143" spans="2:10">
      <c r="B143" s="59">
        <v>44335</v>
      </c>
      <c r="C143" s="62">
        <f>MONTH(ENTRADAS[[#This Row],[Data da Compra]])</f>
        <v>5</v>
      </c>
      <c r="D143" s="62">
        <f>YEAR(ENTRADAS[[#This Row],[Data da Compra]])</f>
        <v>2021</v>
      </c>
      <c r="E143" s="71" t="s">
        <v>88</v>
      </c>
      <c r="F143" s="4" t="s">
        <v>101</v>
      </c>
      <c r="G143" s="61">
        <v>4</v>
      </c>
      <c r="H143" s="63" t="str">
        <f t="shared" ca="1" si="6"/>
        <v>NF95</v>
      </c>
      <c r="I143" s="63" t="str">
        <f t="shared" ca="1" si="7"/>
        <v>OC74</v>
      </c>
      <c r="J143" s="61"/>
    </row>
    <row r="144" spans="2:10">
      <c r="B144" s="59">
        <v>44336</v>
      </c>
      <c r="C144" s="62">
        <f>MONTH(ENTRADAS[[#This Row],[Data da Compra]])</f>
        <v>5</v>
      </c>
      <c r="D144" s="62">
        <f>YEAR(ENTRADAS[[#This Row],[Data da Compra]])</f>
        <v>2021</v>
      </c>
      <c r="E144" s="71" t="s">
        <v>91</v>
      </c>
      <c r="F144" s="4" t="s">
        <v>102</v>
      </c>
      <c r="G144" s="61">
        <v>26</v>
      </c>
      <c r="H144" s="63" t="str">
        <f t="shared" ca="1" si="6"/>
        <v>NF39</v>
      </c>
      <c r="I144" s="63" t="str">
        <f t="shared" ca="1" si="7"/>
        <v>OC6</v>
      </c>
      <c r="J144" s="61"/>
    </row>
    <row r="145" spans="2:10">
      <c r="B145" s="59">
        <v>44337</v>
      </c>
      <c r="C145" s="62">
        <f>MONTH(ENTRADAS[[#This Row],[Data da Compra]])</f>
        <v>5</v>
      </c>
      <c r="D145" s="62">
        <f>YEAR(ENTRADAS[[#This Row],[Data da Compra]])</f>
        <v>2021</v>
      </c>
      <c r="E145" s="71" t="s">
        <v>84</v>
      </c>
      <c r="F145" s="4" t="s">
        <v>103</v>
      </c>
      <c r="G145" s="61">
        <v>32</v>
      </c>
      <c r="H145" s="63" t="str">
        <f t="shared" ca="1" si="6"/>
        <v>NF55</v>
      </c>
      <c r="I145" s="63" t="str">
        <f t="shared" ca="1" si="7"/>
        <v>OC76</v>
      </c>
      <c r="J145" s="61"/>
    </row>
    <row r="146" spans="2:10">
      <c r="B146" s="59">
        <v>44338</v>
      </c>
      <c r="C146" s="62">
        <f>MONTH(ENTRADAS[[#This Row],[Data da Compra]])</f>
        <v>5</v>
      </c>
      <c r="D146" s="62">
        <f>YEAR(ENTRADAS[[#This Row],[Data da Compra]])</f>
        <v>2021</v>
      </c>
      <c r="E146" s="71" t="s">
        <v>83</v>
      </c>
      <c r="F146" s="4" t="s">
        <v>99</v>
      </c>
      <c r="G146" s="61">
        <v>2</v>
      </c>
      <c r="H146" s="63" t="str">
        <f t="shared" ca="1" si="6"/>
        <v>NF93</v>
      </c>
      <c r="I146" s="63" t="str">
        <f t="shared" ca="1" si="7"/>
        <v>OC24</v>
      </c>
      <c r="J146" s="61"/>
    </row>
    <row r="147" spans="2:10">
      <c r="B147" s="59">
        <v>44339</v>
      </c>
      <c r="C147" s="62">
        <f>MONTH(ENTRADAS[[#This Row],[Data da Compra]])</f>
        <v>5</v>
      </c>
      <c r="D147" s="62">
        <f>YEAR(ENTRADAS[[#This Row],[Data da Compra]])</f>
        <v>2021</v>
      </c>
      <c r="E147" s="71" t="s">
        <v>88</v>
      </c>
      <c r="F147" s="4" t="s">
        <v>103</v>
      </c>
      <c r="G147" s="61">
        <v>32</v>
      </c>
      <c r="H147" s="63" t="str">
        <f t="shared" ca="1" si="6"/>
        <v>NF9</v>
      </c>
      <c r="I147" s="63" t="str">
        <f t="shared" ca="1" si="7"/>
        <v>OC43</v>
      </c>
      <c r="J147" s="61"/>
    </row>
    <row r="148" spans="2:10">
      <c r="B148" s="59">
        <v>44340</v>
      </c>
      <c r="C148" s="62">
        <f>MONTH(ENTRADAS[[#This Row],[Data da Compra]])</f>
        <v>5</v>
      </c>
      <c r="D148" s="62">
        <f>YEAR(ENTRADAS[[#This Row],[Data da Compra]])</f>
        <v>2021</v>
      </c>
      <c r="E148" s="71" t="s">
        <v>88</v>
      </c>
      <c r="F148" s="4" t="s">
        <v>98</v>
      </c>
      <c r="G148" s="61">
        <v>37</v>
      </c>
      <c r="H148" s="63" t="str">
        <f t="shared" ca="1" si="6"/>
        <v>NF118</v>
      </c>
      <c r="I148" s="63" t="str">
        <f t="shared" ca="1" si="7"/>
        <v>OC30</v>
      </c>
      <c r="J148" s="61"/>
    </row>
    <row r="149" spans="2:10">
      <c r="B149" s="59">
        <v>44341</v>
      </c>
      <c r="C149" s="62">
        <f>MONTH(ENTRADAS[[#This Row],[Data da Compra]])</f>
        <v>5</v>
      </c>
      <c r="D149" s="62">
        <f>YEAR(ENTRADAS[[#This Row],[Data da Compra]])</f>
        <v>2021</v>
      </c>
      <c r="E149" s="71" t="s">
        <v>87</v>
      </c>
      <c r="F149" s="4" t="s">
        <v>103</v>
      </c>
      <c r="G149" s="61">
        <v>21</v>
      </c>
      <c r="H149" s="63" t="str">
        <f t="shared" ca="1" si="6"/>
        <v>NF73</v>
      </c>
      <c r="I149" s="63" t="str">
        <f t="shared" ca="1" si="7"/>
        <v>OC26</v>
      </c>
      <c r="J149" s="61"/>
    </row>
    <row r="150" spans="2:10">
      <c r="B150" s="59">
        <v>44342</v>
      </c>
      <c r="C150" s="62">
        <f>MONTH(ENTRADAS[[#This Row],[Data da Compra]])</f>
        <v>5</v>
      </c>
      <c r="D150" s="62">
        <f>YEAR(ENTRADAS[[#This Row],[Data da Compra]])</f>
        <v>2021</v>
      </c>
      <c r="E150" s="71" t="s">
        <v>84</v>
      </c>
      <c r="F150" s="4" t="s">
        <v>103</v>
      </c>
      <c r="G150" s="61">
        <v>14</v>
      </c>
      <c r="H150" s="63" t="str">
        <f t="shared" ca="1" si="6"/>
        <v>NF80</v>
      </c>
      <c r="I150" s="63" t="str">
        <f t="shared" ca="1" si="7"/>
        <v>OC73</v>
      </c>
      <c r="J150" s="61"/>
    </row>
    <row r="151" spans="2:10">
      <c r="B151" s="59">
        <v>44343</v>
      </c>
      <c r="C151" s="62">
        <f>MONTH(ENTRADAS[[#This Row],[Data da Compra]])</f>
        <v>5</v>
      </c>
      <c r="D151" s="62">
        <f>YEAR(ENTRADAS[[#This Row],[Data da Compra]])</f>
        <v>2021</v>
      </c>
      <c r="E151" s="71" t="s">
        <v>94</v>
      </c>
      <c r="F151" s="4" t="s">
        <v>102</v>
      </c>
      <c r="G151" s="61">
        <v>21</v>
      </c>
      <c r="H151" s="63" t="str">
        <f t="shared" ca="1" si="6"/>
        <v>NF124</v>
      </c>
      <c r="I151" s="63" t="str">
        <f t="shared" ca="1" si="7"/>
        <v>OC28</v>
      </c>
      <c r="J151" s="61"/>
    </row>
    <row r="152" spans="2:10">
      <c r="B152" s="59">
        <v>44344</v>
      </c>
      <c r="C152" s="62">
        <f>MONTH(ENTRADAS[[#This Row],[Data da Compra]])</f>
        <v>5</v>
      </c>
      <c r="D152" s="62">
        <f>YEAR(ENTRADAS[[#This Row],[Data da Compra]])</f>
        <v>2021</v>
      </c>
      <c r="E152" s="71" t="s">
        <v>83</v>
      </c>
      <c r="F152" s="4" t="s">
        <v>103</v>
      </c>
      <c r="G152" s="61">
        <v>10</v>
      </c>
      <c r="H152" s="63" t="str">
        <f t="shared" ca="1" si="6"/>
        <v>NF145</v>
      </c>
      <c r="I152" s="63" t="str">
        <f t="shared" ca="1" si="7"/>
        <v>OC61</v>
      </c>
      <c r="J152" s="61"/>
    </row>
    <row r="153" spans="2:10">
      <c r="B153" s="59">
        <v>44345</v>
      </c>
      <c r="C153" s="62">
        <f>MONTH(ENTRADAS[[#This Row],[Data da Compra]])</f>
        <v>5</v>
      </c>
      <c r="D153" s="62">
        <f>YEAR(ENTRADAS[[#This Row],[Data da Compra]])</f>
        <v>2021</v>
      </c>
      <c r="E153" s="71" t="s">
        <v>84</v>
      </c>
      <c r="F153" s="4" t="s">
        <v>101</v>
      </c>
      <c r="G153" s="61">
        <v>12</v>
      </c>
      <c r="H153" s="63" t="str">
        <f t="shared" ca="1" si="6"/>
        <v>NF46</v>
      </c>
      <c r="I153" s="63" t="str">
        <f t="shared" ca="1" si="7"/>
        <v>OC116</v>
      </c>
      <c r="J153" s="61"/>
    </row>
    <row r="154" spans="2:10">
      <c r="B154" s="59">
        <v>44346</v>
      </c>
      <c r="C154" s="62">
        <f>MONTH(ENTRADAS[[#This Row],[Data da Compra]])</f>
        <v>5</v>
      </c>
      <c r="D154" s="62">
        <f>YEAR(ENTRADAS[[#This Row],[Data da Compra]])</f>
        <v>2021</v>
      </c>
      <c r="E154" s="71" t="s">
        <v>86</v>
      </c>
      <c r="F154" s="4" t="s">
        <v>102</v>
      </c>
      <c r="G154" s="61">
        <v>8</v>
      </c>
      <c r="H154" s="63" t="str">
        <f t="shared" ca="1" si="6"/>
        <v>NF95</v>
      </c>
      <c r="I154" s="63" t="str">
        <f t="shared" ca="1" si="7"/>
        <v>OC131</v>
      </c>
      <c r="J154" s="61"/>
    </row>
    <row r="155" spans="2:10">
      <c r="B155" s="59">
        <v>44347</v>
      </c>
      <c r="C155" s="62">
        <f>MONTH(ENTRADAS[[#This Row],[Data da Compra]])</f>
        <v>5</v>
      </c>
      <c r="D155" s="62">
        <f>YEAR(ENTRADAS[[#This Row],[Data da Compra]])</f>
        <v>2021</v>
      </c>
      <c r="E155" s="71" t="s">
        <v>95</v>
      </c>
      <c r="F155" s="4" t="s">
        <v>98</v>
      </c>
      <c r="G155" s="61">
        <v>29</v>
      </c>
      <c r="H155" s="63" t="str">
        <f t="shared" ca="1" si="6"/>
        <v>NF76</v>
      </c>
      <c r="I155" s="63" t="str">
        <f t="shared" ca="1" si="7"/>
        <v>OC68</v>
      </c>
      <c r="J155" s="61"/>
    </row>
    <row r="156" spans="2:10">
      <c r="B156" s="59">
        <v>44348</v>
      </c>
      <c r="C156" s="62">
        <f>MONTH(ENTRADAS[[#This Row],[Data da Compra]])</f>
        <v>6</v>
      </c>
      <c r="D156" s="62">
        <f>YEAR(ENTRADAS[[#This Row],[Data da Compra]])</f>
        <v>2021</v>
      </c>
      <c r="E156" s="71" t="s">
        <v>88</v>
      </c>
      <c r="F156" s="4" t="s">
        <v>101</v>
      </c>
      <c r="G156" s="61">
        <v>18</v>
      </c>
      <c r="H156" s="63" t="str">
        <f t="shared" ca="1" si="6"/>
        <v>NF37</v>
      </c>
      <c r="I156" s="63" t="str">
        <f t="shared" ca="1" si="7"/>
        <v>OC58</v>
      </c>
      <c r="J156" s="61"/>
    </row>
    <row r="157" spans="2:10">
      <c r="B157" s="59">
        <v>44349</v>
      </c>
      <c r="C157" s="62">
        <f>MONTH(ENTRADAS[[#This Row],[Data da Compra]])</f>
        <v>6</v>
      </c>
      <c r="D157" s="62">
        <f>YEAR(ENTRADAS[[#This Row],[Data da Compra]])</f>
        <v>2021</v>
      </c>
      <c r="E157" s="71" t="s">
        <v>86</v>
      </c>
      <c r="F157" s="4" t="s">
        <v>99</v>
      </c>
      <c r="G157" s="61">
        <v>12</v>
      </c>
      <c r="H157" s="63" t="str">
        <f t="shared" ca="1" si="6"/>
        <v>NF50</v>
      </c>
      <c r="I157" s="63" t="str">
        <f t="shared" ca="1" si="7"/>
        <v>OC99</v>
      </c>
      <c r="J157" s="61"/>
    </row>
    <row r="158" spans="2:10">
      <c r="B158" s="59">
        <v>44350</v>
      </c>
      <c r="C158" s="62">
        <f>MONTH(ENTRADAS[[#This Row],[Data da Compra]])</f>
        <v>6</v>
      </c>
      <c r="D158" s="62">
        <f>YEAR(ENTRADAS[[#This Row],[Data da Compra]])</f>
        <v>2021</v>
      </c>
      <c r="E158" s="71" t="s">
        <v>96</v>
      </c>
      <c r="F158" s="4" t="s">
        <v>102</v>
      </c>
      <c r="G158" s="61">
        <v>21</v>
      </c>
      <c r="H158" s="63" t="str">
        <f t="shared" ca="1" si="6"/>
        <v>NF58</v>
      </c>
      <c r="I158" s="63" t="str">
        <f t="shared" ca="1" si="7"/>
        <v>OC142</v>
      </c>
      <c r="J158" s="61"/>
    </row>
    <row r="159" spans="2:10">
      <c r="B159" s="59">
        <v>44351</v>
      </c>
      <c r="C159" s="62">
        <f>MONTH(ENTRADAS[[#This Row],[Data da Compra]])</f>
        <v>6</v>
      </c>
      <c r="D159" s="62">
        <f>YEAR(ENTRADAS[[#This Row],[Data da Compra]])</f>
        <v>2021</v>
      </c>
      <c r="E159" s="71" t="s">
        <v>85</v>
      </c>
      <c r="F159" s="4" t="s">
        <v>100</v>
      </c>
      <c r="G159" s="61">
        <v>19</v>
      </c>
      <c r="H159" s="63" t="str">
        <f t="shared" ca="1" si="6"/>
        <v>NF96</v>
      </c>
      <c r="I159" s="63" t="str">
        <f t="shared" ca="1" si="7"/>
        <v>OC109</v>
      </c>
      <c r="J159" s="61"/>
    </row>
    <row r="160" spans="2:10">
      <c r="B160" s="59">
        <v>44352</v>
      </c>
      <c r="C160" s="62">
        <f>MONTH(ENTRADAS[[#This Row],[Data da Compra]])</f>
        <v>6</v>
      </c>
      <c r="D160" s="62">
        <f>YEAR(ENTRADAS[[#This Row],[Data da Compra]])</f>
        <v>2021</v>
      </c>
      <c r="E160" s="71" t="s">
        <v>94</v>
      </c>
      <c r="F160" s="4" t="s">
        <v>102</v>
      </c>
      <c r="G160" s="61">
        <v>14</v>
      </c>
      <c r="H160" s="63" t="str">
        <f t="shared" ca="1" si="6"/>
        <v>NF102</v>
      </c>
      <c r="I160" s="63" t="str">
        <f t="shared" ca="1" si="7"/>
        <v>OC41</v>
      </c>
      <c r="J160" s="61"/>
    </row>
    <row r="161" spans="2:10">
      <c r="B161" s="59">
        <v>44353</v>
      </c>
      <c r="C161" s="62">
        <f>MONTH(ENTRADAS[[#This Row],[Data da Compra]])</f>
        <v>6</v>
      </c>
      <c r="D161" s="62">
        <f>YEAR(ENTRADAS[[#This Row],[Data da Compra]])</f>
        <v>2021</v>
      </c>
      <c r="E161" s="71" t="s">
        <v>82</v>
      </c>
      <c r="F161" s="4" t="s">
        <v>103</v>
      </c>
      <c r="G161" s="61">
        <v>27</v>
      </c>
      <c r="H161" s="63" t="str">
        <f t="shared" ca="1" si="6"/>
        <v>NF24</v>
      </c>
      <c r="I161" s="63" t="str">
        <f t="shared" ca="1" si="7"/>
        <v>OC86</v>
      </c>
      <c r="J161" s="61"/>
    </row>
    <row r="162" spans="2:10">
      <c r="B162" s="59">
        <v>44354</v>
      </c>
      <c r="C162" s="62">
        <f>MONTH(ENTRADAS[[#This Row],[Data da Compra]])</f>
        <v>6</v>
      </c>
      <c r="D162" s="62">
        <f>YEAR(ENTRADAS[[#This Row],[Data da Compra]])</f>
        <v>2021</v>
      </c>
      <c r="E162" s="71" t="s">
        <v>82</v>
      </c>
      <c r="F162" s="4" t="s">
        <v>102</v>
      </c>
      <c r="G162" s="61">
        <v>19</v>
      </c>
      <c r="H162" s="63" t="str">
        <f t="shared" ca="1" si="6"/>
        <v>NF37</v>
      </c>
      <c r="I162" s="63" t="str">
        <f t="shared" ca="1" si="7"/>
        <v>OC80</v>
      </c>
      <c r="J162" s="61"/>
    </row>
    <row r="163" spans="2:10">
      <c r="B163" s="59">
        <v>44355</v>
      </c>
      <c r="C163" s="62">
        <f>MONTH(ENTRADAS[[#This Row],[Data da Compra]])</f>
        <v>6</v>
      </c>
      <c r="D163" s="62">
        <f>YEAR(ENTRADAS[[#This Row],[Data da Compra]])</f>
        <v>2021</v>
      </c>
      <c r="E163" s="71" t="s">
        <v>91</v>
      </c>
      <c r="F163" s="4" t="s">
        <v>99</v>
      </c>
      <c r="G163" s="61">
        <v>44</v>
      </c>
      <c r="H163" s="63" t="str">
        <f t="shared" ca="1" si="6"/>
        <v>NF115</v>
      </c>
      <c r="I163" s="63" t="str">
        <f t="shared" ca="1" si="7"/>
        <v>OC83</v>
      </c>
      <c r="J163" s="61"/>
    </row>
    <row r="164" spans="2:10">
      <c r="B164" s="59">
        <v>44356</v>
      </c>
      <c r="C164" s="62">
        <f>MONTH(ENTRADAS[[#This Row],[Data da Compra]])</f>
        <v>6</v>
      </c>
      <c r="D164" s="62">
        <f>YEAR(ENTRADAS[[#This Row],[Data da Compra]])</f>
        <v>2021</v>
      </c>
      <c r="E164" s="71" t="s">
        <v>88</v>
      </c>
      <c r="F164" s="4" t="s">
        <v>103</v>
      </c>
      <c r="G164" s="61">
        <v>8</v>
      </c>
      <c r="H164" s="63" t="str">
        <f t="shared" ca="1" si="6"/>
        <v>NF121</v>
      </c>
      <c r="I164" s="63" t="str">
        <f t="shared" ca="1" si="7"/>
        <v>OC101</v>
      </c>
      <c r="J164" s="61"/>
    </row>
    <row r="165" spans="2:10">
      <c r="B165" s="59">
        <v>44357</v>
      </c>
      <c r="C165" s="62">
        <f>MONTH(ENTRADAS[[#This Row],[Data da Compra]])</f>
        <v>6</v>
      </c>
      <c r="D165" s="62">
        <f>YEAR(ENTRADAS[[#This Row],[Data da Compra]])</f>
        <v>2021</v>
      </c>
      <c r="E165" s="71" t="s">
        <v>97</v>
      </c>
      <c r="F165" s="4" t="s">
        <v>102</v>
      </c>
      <c r="G165" s="61">
        <v>28</v>
      </c>
      <c r="H165" s="63" t="str">
        <f t="shared" ca="1" si="6"/>
        <v>NF98</v>
      </c>
      <c r="I165" s="63" t="str">
        <f t="shared" ca="1" si="7"/>
        <v>OC105</v>
      </c>
      <c r="J165" s="61"/>
    </row>
  </sheetData>
  <dataValidations count="1">
    <dataValidation allowBlank="1" showInputMessage="1" showErrorMessage="1" promptTitle="Escolher Produto" prompt="Selecione na lista o produto a ser vendido, não é necessário digitar." sqref="E4" xr:uid="{00000000-0002-0000-0300-000001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B1:M109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5"/>
  <cols>
    <col min="1" max="1" width="2.90625" customWidth="1"/>
    <col min="2" max="2" width="17.6328125" style="59" customWidth="1"/>
    <col min="3" max="4" width="17.6328125" style="48" hidden="1" customWidth="1"/>
    <col min="5" max="5" width="24.453125" customWidth="1"/>
    <col min="6" max="6" width="27.90625" customWidth="1"/>
    <col min="7" max="7" width="18" customWidth="1"/>
    <col min="8" max="8" width="42" customWidth="1"/>
    <col min="9" max="10" width="16.90625" customWidth="1"/>
    <col min="11" max="11" width="21.453125" customWidth="1"/>
    <col min="12" max="12" width="10.453125" customWidth="1"/>
    <col min="13" max="13" width="15" customWidth="1"/>
    <col min="14" max="14" width="12.453125" bestFit="1" customWidth="1"/>
    <col min="15" max="15" width="12.54296875" bestFit="1" customWidth="1"/>
    <col min="17" max="17" width="12.453125" bestFit="1" customWidth="1"/>
  </cols>
  <sheetData>
    <row r="1" spans="2:13" s="23" customFormat="1" ht="39.75" customHeight="1">
      <c r="B1" s="53" t="s">
        <v>19</v>
      </c>
      <c r="C1" s="43"/>
      <c r="D1" s="43"/>
    </row>
    <row r="2" spans="2:13" s="1" customFormat="1" ht="3.75" customHeight="1">
      <c r="B2" s="56"/>
      <c r="C2" s="44"/>
      <c r="D2" s="44"/>
    </row>
    <row r="3" spans="2:13" ht="18.5">
      <c r="B3" s="57"/>
      <c r="C3" s="45"/>
      <c r="D3" s="45"/>
      <c r="E3" s="6"/>
      <c r="F3" s="6"/>
      <c r="G3" s="6"/>
      <c r="H3" s="6"/>
      <c r="I3" s="6"/>
      <c r="J3" s="5"/>
      <c r="K3" s="6"/>
    </row>
    <row r="4" spans="2:13" ht="35.25" customHeight="1">
      <c r="B4" s="55" t="s">
        <v>20</v>
      </c>
      <c r="C4" s="46" t="s">
        <v>11</v>
      </c>
      <c r="D4" s="46" t="s">
        <v>12</v>
      </c>
      <c r="E4" s="36" t="s">
        <v>13</v>
      </c>
      <c r="F4" s="27" t="s">
        <v>21</v>
      </c>
      <c r="G4" s="40" t="s">
        <v>15</v>
      </c>
      <c r="H4" s="27" t="s">
        <v>18</v>
      </c>
    </row>
    <row r="5" spans="2:13">
      <c r="B5" s="58">
        <v>44197</v>
      </c>
      <c r="C5" s="60">
        <f>MONTH(SAÍDAS[[#This Row],[Data da Saída]])</f>
        <v>1</v>
      </c>
      <c r="D5" s="60">
        <f>YEAR(SAÍDAS[[#This Row],[Data da Saída]])</f>
        <v>2021</v>
      </c>
      <c r="E5" s="71" t="s">
        <v>90</v>
      </c>
      <c r="F5" s="71" t="s">
        <v>100</v>
      </c>
      <c r="G5" s="61">
        <v>15</v>
      </c>
      <c r="H5" s="60"/>
      <c r="M5" s="8"/>
    </row>
    <row r="6" spans="2:13">
      <c r="B6" s="58">
        <v>44198</v>
      </c>
      <c r="C6" s="60">
        <f>MONTH(SAÍDAS[[#This Row],[Data da Saída]])</f>
        <v>1</v>
      </c>
      <c r="D6" s="60">
        <f>YEAR(SAÍDAS[[#This Row],[Data da Saída]])</f>
        <v>2021</v>
      </c>
      <c r="E6" s="71" t="s">
        <v>90</v>
      </c>
      <c r="F6" s="71" t="s">
        <v>100</v>
      </c>
      <c r="G6" s="61">
        <v>13</v>
      </c>
      <c r="H6" s="72"/>
    </row>
    <row r="7" spans="2:13">
      <c r="B7" s="58">
        <v>44199</v>
      </c>
      <c r="C7" s="60">
        <f>MONTH(SAÍDAS[[#This Row],[Data da Saída]])</f>
        <v>1</v>
      </c>
      <c r="D7" s="60">
        <f>YEAR(SAÍDAS[[#This Row],[Data da Saída]])</f>
        <v>2021</v>
      </c>
      <c r="E7" s="71" t="s">
        <v>97</v>
      </c>
      <c r="F7" s="71" t="s">
        <v>103</v>
      </c>
      <c r="G7" s="61">
        <v>8</v>
      </c>
      <c r="H7" s="72"/>
    </row>
    <row r="8" spans="2:13">
      <c r="B8" s="58">
        <v>44200</v>
      </c>
      <c r="C8" s="60">
        <f>MONTH(SAÍDAS[[#This Row],[Data da Saída]])</f>
        <v>1</v>
      </c>
      <c r="D8" s="60">
        <f>YEAR(SAÍDAS[[#This Row],[Data da Saída]])</f>
        <v>2021</v>
      </c>
      <c r="E8" s="71" t="s">
        <v>91</v>
      </c>
      <c r="F8" s="71" t="s">
        <v>102</v>
      </c>
      <c r="G8" s="61">
        <v>10</v>
      </c>
      <c r="H8" s="72"/>
    </row>
    <row r="9" spans="2:13">
      <c r="B9" s="58">
        <v>44201</v>
      </c>
      <c r="C9" s="60">
        <f>MONTH(SAÍDAS[[#This Row],[Data da Saída]])</f>
        <v>1</v>
      </c>
      <c r="D9" s="60">
        <f>YEAR(SAÍDAS[[#This Row],[Data da Saída]])</f>
        <v>2021</v>
      </c>
      <c r="E9" s="71" t="s">
        <v>89</v>
      </c>
      <c r="F9" s="71" t="s">
        <v>99</v>
      </c>
      <c r="G9" s="61">
        <v>27</v>
      </c>
      <c r="H9" s="72"/>
    </row>
    <row r="10" spans="2:13">
      <c r="B10" s="58">
        <v>44202</v>
      </c>
      <c r="C10" s="60">
        <f>MONTH(SAÍDAS[[#This Row],[Data da Saída]])</f>
        <v>1</v>
      </c>
      <c r="D10" s="60">
        <f>YEAR(SAÍDAS[[#This Row],[Data da Saída]])</f>
        <v>2021</v>
      </c>
      <c r="E10" s="71" t="s">
        <v>94</v>
      </c>
      <c r="F10" s="71" t="s">
        <v>100</v>
      </c>
      <c r="G10" s="61">
        <v>2</v>
      </c>
      <c r="H10" s="72"/>
    </row>
    <row r="11" spans="2:13">
      <c r="B11" s="58">
        <v>44203</v>
      </c>
      <c r="C11" s="60">
        <f>MONTH(SAÍDAS[[#This Row],[Data da Saída]])</f>
        <v>1</v>
      </c>
      <c r="D11" s="60">
        <f>YEAR(SAÍDAS[[#This Row],[Data da Saída]])</f>
        <v>2021</v>
      </c>
      <c r="E11" s="71" t="s">
        <v>82</v>
      </c>
      <c r="F11" s="71" t="s">
        <v>100</v>
      </c>
      <c r="G11" s="61">
        <v>25</v>
      </c>
      <c r="H11" s="72"/>
    </row>
    <row r="12" spans="2:13">
      <c r="B12" s="58">
        <v>44204</v>
      </c>
      <c r="C12" s="60">
        <f>MONTH(SAÍDAS[[#This Row],[Data da Saída]])</f>
        <v>1</v>
      </c>
      <c r="D12" s="60">
        <f>YEAR(SAÍDAS[[#This Row],[Data da Saída]])</f>
        <v>2021</v>
      </c>
      <c r="E12" s="71" t="s">
        <v>93</v>
      </c>
      <c r="F12" s="71" t="s">
        <v>101</v>
      </c>
      <c r="G12" s="61">
        <v>12</v>
      </c>
      <c r="H12" s="72"/>
    </row>
    <row r="13" spans="2:13">
      <c r="B13" s="58">
        <v>44205</v>
      </c>
      <c r="C13" s="60">
        <f>MONTH(SAÍDAS[[#This Row],[Data da Saída]])</f>
        <v>1</v>
      </c>
      <c r="D13" s="60">
        <f>YEAR(SAÍDAS[[#This Row],[Data da Saída]])</f>
        <v>2021</v>
      </c>
      <c r="E13" s="71" t="s">
        <v>90</v>
      </c>
      <c r="F13" s="71" t="s">
        <v>100</v>
      </c>
      <c r="G13" s="61">
        <v>21</v>
      </c>
      <c r="H13" s="72"/>
    </row>
    <row r="14" spans="2:13">
      <c r="B14" s="58">
        <v>44206</v>
      </c>
      <c r="C14" s="60">
        <f>MONTH(SAÍDAS[[#This Row],[Data da Saída]])</f>
        <v>1</v>
      </c>
      <c r="D14" s="60">
        <f>YEAR(SAÍDAS[[#This Row],[Data da Saída]])</f>
        <v>2021</v>
      </c>
      <c r="E14" s="71" t="s">
        <v>92</v>
      </c>
      <c r="F14" s="71" t="s">
        <v>98</v>
      </c>
      <c r="G14" s="61">
        <v>4</v>
      </c>
      <c r="H14" s="72"/>
    </row>
    <row r="15" spans="2:13">
      <c r="B15" s="58">
        <v>44207</v>
      </c>
      <c r="C15" s="60">
        <f>MONTH(SAÍDAS[[#This Row],[Data da Saída]])</f>
        <v>1</v>
      </c>
      <c r="D15" s="60">
        <f>YEAR(SAÍDAS[[#This Row],[Data da Saída]])</f>
        <v>2021</v>
      </c>
      <c r="E15" s="71" t="s">
        <v>86</v>
      </c>
      <c r="F15" s="71" t="s">
        <v>101</v>
      </c>
      <c r="G15" s="61">
        <v>2</v>
      </c>
      <c r="H15" s="72"/>
    </row>
    <row r="16" spans="2:13">
      <c r="B16" s="58">
        <v>44208</v>
      </c>
      <c r="C16" s="60">
        <f>MONTH(SAÍDAS[[#This Row],[Data da Saída]])</f>
        <v>1</v>
      </c>
      <c r="D16" s="60">
        <f>YEAR(SAÍDAS[[#This Row],[Data da Saída]])</f>
        <v>2021</v>
      </c>
      <c r="E16" s="71" t="s">
        <v>94</v>
      </c>
      <c r="F16" s="71" t="s">
        <v>98</v>
      </c>
      <c r="G16" s="61">
        <v>13</v>
      </c>
      <c r="H16" s="72"/>
    </row>
    <row r="17" spans="2:8">
      <c r="B17" s="58">
        <v>44209</v>
      </c>
      <c r="C17" s="60">
        <f>MONTH(SAÍDAS[[#This Row],[Data da Saída]])</f>
        <v>1</v>
      </c>
      <c r="D17" s="60">
        <f>YEAR(SAÍDAS[[#This Row],[Data da Saída]])</f>
        <v>2021</v>
      </c>
      <c r="E17" s="71" t="s">
        <v>93</v>
      </c>
      <c r="F17" s="71" t="s">
        <v>101</v>
      </c>
      <c r="G17" s="61">
        <v>6</v>
      </c>
      <c r="H17" s="72"/>
    </row>
    <row r="18" spans="2:8">
      <c r="B18" s="58">
        <v>44210</v>
      </c>
      <c r="C18" s="60">
        <f>MONTH(SAÍDAS[[#This Row],[Data da Saída]])</f>
        <v>1</v>
      </c>
      <c r="D18" s="60">
        <f>YEAR(SAÍDAS[[#This Row],[Data da Saída]])</f>
        <v>2021</v>
      </c>
      <c r="E18" s="71" t="s">
        <v>86</v>
      </c>
      <c r="F18" s="71" t="s">
        <v>99</v>
      </c>
      <c r="G18" s="61">
        <v>11</v>
      </c>
      <c r="H18" s="72"/>
    </row>
    <row r="19" spans="2:8">
      <c r="B19" s="58">
        <v>44211</v>
      </c>
      <c r="C19" s="60">
        <f>MONTH(SAÍDAS[[#This Row],[Data da Saída]])</f>
        <v>1</v>
      </c>
      <c r="D19" s="60">
        <f>YEAR(SAÍDAS[[#This Row],[Data da Saída]])</f>
        <v>2021</v>
      </c>
      <c r="E19" s="71" t="s">
        <v>94</v>
      </c>
      <c r="F19" s="71" t="s">
        <v>102</v>
      </c>
      <c r="G19" s="61">
        <v>17</v>
      </c>
      <c r="H19" s="72"/>
    </row>
    <row r="20" spans="2:8">
      <c r="B20" s="58">
        <v>44212</v>
      </c>
      <c r="C20" s="60">
        <f>MONTH(SAÍDAS[[#This Row],[Data da Saída]])</f>
        <v>1</v>
      </c>
      <c r="D20" s="60">
        <f>YEAR(SAÍDAS[[#This Row],[Data da Saída]])</f>
        <v>2021</v>
      </c>
      <c r="E20" s="71" t="s">
        <v>94</v>
      </c>
      <c r="F20" s="71" t="s">
        <v>98</v>
      </c>
      <c r="G20" s="61">
        <v>4</v>
      </c>
      <c r="H20" s="72"/>
    </row>
    <row r="21" spans="2:8">
      <c r="B21" s="58">
        <v>44213</v>
      </c>
      <c r="C21" s="60">
        <f>MONTH(SAÍDAS[[#This Row],[Data da Saída]])</f>
        <v>1</v>
      </c>
      <c r="D21" s="60">
        <f>YEAR(SAÍDAS[[#This Row],[Data da Saída]])</f>
        <v>2021</v>
      </c>
      <c r="E21" s="71" t="s">
        <v>86</v>
      </c>
      <c r="F21" s="71" t="s">
        <v>100</v>
      </c>
      <c r="G21" s="61">
        <v>2</v>
      </c>
      <c r="H21" s="72"/>
    </row>
    <row r="22" spans="2:8">
      <c r="B22" s="58">
        <v>44214</v>
      </c>
      <c r="C22" s="60">
        <f>MONTH(SAÍDAS[[#This Row],[Data da Saída]])</f>
        <v>1</v>
      </c>
      <c r="D22" s="60">
        <f>YEAR(SAÍDAS[[#This Row],[Data da Saída]])</f>
        <v>2021</v>
      </c>
      <c r="E22" s="71" t="s">
        <v>91</v>
      </c>
      <c r="F22" s="71" t="s">
        <v>98</v>
      </c>
      <c r="G22" s="61">
        <v>14</v>
      </c>
      <c r="H22" s="72"/>
    </row>
    <row r="23" spans="2:8">
      <c r="B23" s="58">
        <v>44215</v>
      </c>
      <c r="C23" s="60">
        <f>MONTH(SAÍDAS[[#This Row],[Data da Saída]])</f>
        <v>1</v>
      </c>
      <c r="D23" s="60">
        <f>YEAR(SAÍDAS[[#This Row],[Data da Saída]])</f>
        <v>2021</v>
      </c>
      <c r="E23" s="71" t="s">
        <v>83</v>
      </c>
      <c r="F23" s="71" t="s">
        <v>100</v>
      </c>
      <c r="G23" s="61">
        <v>10</v>
      </c>
      <c r="H23" s="72"/>
    </row>
    <row r="24" spans="2:8">
      <c r="B24" s="58">
        <v>44216</v>
      </c>
      <c r="C24" s="60">
        <f>MONTH(SAÍDAS[[#This Row],[Data da Saída]])</f>
        <v>1</v>
      </c>
      <c r="D24" s="60">
        <f>YEAR(SAÍDAS[[#This Row],[Data da Saída]])</f>
        <v>2021</v>
      </c>
      <c r="E24" s="71" t="s">
        <v>92</v>
      </c>
      <c r="F24" s="71" t="s">
        <v>102</v>
      </c>
      <c r="G24" s="61">
        <v>16</v>
      </c>
      <c r="H24" s="72"/>
    </row>
    <row r="25" spans="2:8">
      <c r="B25" s="58">
        <v>44217</v>
      </c>
      <c r="C25" s="60">
        <f>MONTH(SAÍDAS[[#This Row],[Data da Saída]])</f>
        <v>1</v>
      </c>
      <c r="D25" s="60">
        <f>YEAR(SAÍDAS[[#This Row],[Data da Saída]])</f>
        <v>2021</v>
      </c>
      <c r="E25" s="71" t="s">
        <v>91</v>
      </c>
      <c r="F25" s="71" t="s">
        <v>101</v>
      </c>
      <c r="G25" s="61">
        <v>9</v>
      </c>
      <c r="H25" s="72"/>
    </row>
    <row r="26" spans="2:8">
      <c r="B26" s="58">
        <v>44218</v>
      </c>
      <c r="C26" s="60">
        <f>MONTH(SAÍDAS[[#This Row],[Data da Saída]])</f>
        <v>1</v>
      </c>
      <c r="D26" s="60">
        <f>YEAR(SAÍDAS[[#This Row],[Data da Saída]])</f>
        <v>2021</v>
      </c>
      <c r="E26" s="71" t="s">
        <v>94</v>
      </c>
      <c r="F26" s="71" t="s">
        <v>103</v>
      </c>
      <c r="G26" s="61">
        <v>1</v>
      </c>
      <c r="H26" s="72"/>
    </row>
    <row r="27" spans="2:8">
      <c r="B27" s="58">
        <v>44219</v>
      </c>
      <c r="C27" s="60">
        <f>MONTH(SAÍDAS[[#This Row],[Data da Saída]])</f>
        <v>1</v>
      </c>
      <c r="D27" s="60">
        <f>YEAR(SAÍDAS[[#This Row],[Data da Saída]])</f>
        <v>2021</v>
      </c>
      <c r="E27" s="71" t="s">
        <v>97</v>
      </c>
      <c r="F27" s="71" t="s">
        <v>101</v>
      </c>
      <c r="G27" s="61">
        <v>19</v>
      </c>
      <c r="H27" s="72"/>
    </row>
    <row r="28" spans="2:8">
      <c r="B28" s="58">
        <v>44220</v>
      </c>
      <c r="C28" s="60">
        <f>MONTH(SAÍDAS[[#This Row],[Data da Saída]])</f>
        <v>1</v>
      </c>
      <c r="D28" s="60">
        <f>YEAR(SAÍDAS[[#This Row],[Data da Saída]])</f>
        <v>2021</v>
      </c>
      <c r="E28" s="71" t="s">
        <v>85</v>
      </c>
      <c r="F28" s="71" t="s">
        <v>100</v>
      </c>
      <c r="G28" s="61">
        <v>12</v>
      </c>
      <c r="H28" s="72"/>
    </row>
    <row r="29" spans="2:8">
      <c r="B29" s="58">
        <v>44221</v>
      </c>
      <c r="C29" s="60">
        <f>MONTH(SAÍDAS[[#This Row],[Data da Saída]])</f>
        <v>1</v>
      </c>
      <c r="D29" s="60">
        <f>YEAR(SAÍDAS[[#This Row],[Data da Saída]])</f>
        <v>2021</v>
      </c>
      <c r="E29" s="71" t="s">
        <v>90</v>
      </c>
      <c r="F29" s="71" t="s">
        <v>102</v>
      </c>
      <c r="G29" s="61">
        <v>9</v>
      </c>
      <c r="H29" s="72"/>
    </row>
    <row r="30" spans="2:8">
      <c r="B30" s="58">
        <v>44222</v>
      </c>
      <c r="C30" s="60">
        <f>MONTH(SAÍDAS[[#This Row],[Data da Saída]])</f>
        <v>1</v>
      </c>
      <c r="D30" s="60">
        <f>YEAR(SAÍDAS[[#This Row],[Data da Saída]])</f>
        <v>2021</v>
      </c>
      <c r="E30" s="71" t="s">
        <v>87</v>
      </c>
      <c r="F30" s="71" t="s">
        <v>103</v>
      </c>
      <c r="G30" s="61">
        <v>22</v>
      </c>
      <c r="H30" s="72"/>
    </row>
    <row r="31" spans="2:8">
      <c r="B31" s="58">
        <v>44223</v>
      </c>
      <c r="C31" s="60">
        <f>MONTH(SAÍDAS[[#This Row],[Data da Saída]])</f>
        <v>1</v>
      </c>
      <c r="D31" s="60">
        <f>YEAR(SAÍDAS[[#This Row],[Data da Saída]])</f>
        <v>2021</v>
      </c>
      <c r="E31" s="71" t="s">
        <v>85</v>
      </c>
      <c r="F31" s="71" t="s">
        <v>99</v>
      </c>
      <c r="G31" s="61">
        <v>6</v>
      </c>
      <c r="H31" s="72"/>
    </row>
    <row r="32" spans="2:8">
      <c r="B32" s="58">
        <v>44224</v>
      </c>
      <c r="C32" s="60">
        <f>MONTH(SAÍDAS[[#This Row],[Data da Saída]])</f>
        <v>1</v>
      </c>
      <c r="D32" s="60">
        <f>YEAR(SAÍDAS[[#This Row],[Data da Saída]])</f>
        <v>2021</v>
      </c>
      <c r="E32" s="71" t="s">
        <v>88</v>
      </c>
      <c r="F32" s="71" t="s">
        <v>101</v>
      </c>
      <c r="G32" s="61">
        <v>10</v>
      </c>
      <c r="H32" s="72"/>
    </row>
    <row r="33" spans="2:8">
      <c r="B33" s="58">
        <v>44225</v>
      </c>
      <c r="C33" s="60">
        <f>MONTH(SAÍDAS[[#This Row],[Data da Saída]])</f>
        <v>1</v>
      </c>
      <c r="D33" s="60">
        <f>YEAR(SAÍDAS[[#This Row],[Data da Saída]])</f>
        <v>2021</v>
      </c>
      <c r="E33" s="71" t="s">
        <v>83</v>
      </c>
      <c r="F33" s="71" t="s">
        <v>101</v>
      </c>
      <c r="G33" s="61">
        <v>4</v>
      </c>
      <c r="H33" s="72"/>
    </row>
    <row r="34" spans="2:8">
      <c r="B34" s="58">
        <v>44226</v>
      </c>
      <c r="C34" s="60">
        <f>MONTH(SAÍDAS[[#This Row],[Data da Saída]])</f>
        <v>1</v>
      </c>
      <c r="D34" s="60">
        <f>YEAR(SAÍDAS[[#This Row],[Data da Saída]])</f>
        <v>2021</v>
      </c>
      <c r="E34" s="71" t="s">
        <v>87</v>
      </c>
      <c r="F34" s="71" t="s">
        <v>99</v>
      </c>
      <c r="G34" s="61">
        <v>11</v>
      </c>
      <c r="H34" s="72"/>
    </row>
    <row r="35" spans="2:8">
      <c r="B35" s="58">
        <v>44227</v>
      </c>
      <c r="C35" s="60">
        <f>MONTH(SAÍDAS[[#This Row],[Data da Saída]])</f>
        <v>1</v>
      </c>
      <c r="D35" s="60">
        <f>YEAR(SAÍDAS[[#This Row],[Data da Saída]])</f>
        <v>2021</v>
      </c>
      <c r="E35" s="71" t="s">
        <v>82</v>
      </c>
      <c r="F35" s="71" t="s">
        <v>101</v>
      </c>
      <c r="G35" s="61">
        <v>24</v>
      </c>
      <c r="H35" s="72"/>
    </row>
    <row r="36" spans="2:8">
      <c r="B36" s="58">
        <v>44228</v>
      </c>
      <c r="C36" s="60">
        <f>MONTH(SAÍDAS[[#This Row],[Data da Saída]])</f>
        <v>2</v>
      </c>
      <c r="D36" s="60">
        <f>YEAR(SAÍDAS[[#This Row],[Data da Saída]])</f>
        <v>2021</v>
      </c>
      <c r="E36" s="71" t="s">
        <v>88</v>
      </c>
      <c r="F36" s="71" t="s">
        <v>101</v>
      </c>
      <c r="G36" s="61">
        <v>6</v>
      </c>
      <c r="H36" s="72"/>
    </row>
    <row r="37" spans="2:8">
      <c r="B37" s="58">
        <v>44229</v>
      </c>
      <c r="C37" s="60">
        <f>MONTH(SAÍDAS[[#This Row],[Data da Saída]])</f>
        <v>2</v>
      </c>
      <c r="D37" s="60">
        <f>YEAR(SAÍDAS[[#This Row],[Data da Saída]])</f>
        <v>2021</v>
      </c>
      <c r="E37" s="71" t="s">
        <v>82</v>
      </c>
      <c r="F37" s="71" t="s">
        <v>102</v>
      </c>
      <c r="G37" s="61">
        <v>3</v>
      </c>
      <c r="H37" s="72"/>
    </row>
    <row r="38" spans="2:8">
      <c r="B38" s="58">
        <v>44230</v>
      </c>
      <c r="C38" s="60">
        <f>MONTH(SAÍDAS[[#This Row],[Data da Saída]])</f>
        <v>2</v>
      </c>
      <c r="D38" s="60">
        <f>YEAR(SAÍDAS[[#This Row],[Data da Saída]])</f>
        <v>2021</v>
      </c>
      <c r="E38" s="71" t="s">
        <v>93</v>
      </c>
      <c r="F38" s="71" t="s">
        <v>99</v>
      </c>
      <c r="G38" s="61">
        <v>10</v>
      </c>
      <c r="H38" s="72"/>
    </row>
    <row r="39" spans="2:8">
      <c r="B39" s="58">
        <v>44231</v>
      </c>
      <c r="C39" s="60">
        <f>MONTH(SAÍDAS[[#This Row],[Data da Saída]])</f>
        <v>2</v>
      </c>
      <c r="D39" s="60">
        <f>YEAR(SAÍDAS[[#This Row],[Data da Saída]])</f>
        <v>2021</v>
      </c>
      <c r="E39" s="71" t="s">
        <v>92</v>
      </c>
      <c r="F39" s="71" t="s">
        <v>103</v>
      </c>
      <c r="G39" s="61">
        <v>9</v>
      </c>
      <c r="H39" s="72"/>
    </row>
    <row r="40" spans="2:8">
      <c r="B40" s="58">
        <v>44232</v>
      </c>
      <c r="C40" s="60">
        <f>MONTH(SAÍDAS[[#This Row],[Data da Saída]])</f>
        <v>2</v>
      </c>
      <c r="D40" s="60">
        <f>YEAR(SAÍDAS[[#This Row],[Data da Saída]])</f>
        <v>2021</v>
      </c>
      <c r="E40" s="71" t="s">
        <v>82</v>
      </c>
      <c r="F40" s="71" t="s">
        <v>99</v>
      </c>
      <c r="G40" s="61">
        <v>27</v>
      </c>
      <c r="H40" s="72"/>
    </row>
    <row r="41" spans="2:8">
      <c r="B41" s="58">
        <v>44233</v>
      </c>
      <c r="C41" s="60">
        <f>MONTH(SAÍDAS[[#This Row],[Data da Saída]])</f>
        <v>2</v>
      </c>
      <c r="D41" s="60">
        <f>YEAR(SAÍDAS[[#This Row],[Data da Saída]])</f>
        <v>2021</v>
      </c>
      <c r="E41" s="71" t="s">
        <v>85</v>
      </c>
      <c r="F41" s="71" t="s">
        <v>101</v>
      </c>
      <c r="G41" s="61">
        <v>18</v>
      </c>
      <c r="H41" s="72"/>
    </row>
    <row r="42" spans="2:8">
      <c r="B42" s="58">
        <v>44234</v>
      </c>
      <c r="C42" s="60">
        <f>MONTH(SAÍDAS[[#This Row],[Data da Saída]])</f>
        <v>2</v>
      </c>
      <c r="D42" s="60">
        <f>YEAR(SAÍDAS[[#This Row],[Data da Saída]])</f>
        <v>2021</v>
      </c>
      <c r="E42" s="71" t="s">
        <v>86</v>
      </c>
      <c r="F42" s="71" t="s">
        <v>99</v>
      </c>
      <c r="G42" s="61">
        <v>19</v>
      </c>
      <c r="H42" s="72"/>
    </row>
    <row r="43" spans="2:8">
      <c r="B43" s="58">
        <v>44235</v>
      </c>
      <c r="C43" s="60">
        <f>MONTH(SAÍDAS[[#This Row],[Data da Saída]])</f>
        <v>2</v>
      </c>
      <c r="D43" s="60">
        <f>YEAR(SAÍDAS[[#This Row],[Data da Saída]])</f>
        <v>2021</v>
      </c>
      <c r="E43" s="71" t="s">
        <v>85</v>
      </c>
      <c r="F43" s="71" t="s">
        <v>99</v>
      </c>
      <c r="G43" s="61">
        <v>6</v>
      </c>
      <c r="H43" s="72"/>
    </row>
    <row r="44" spans="2:8">
      <c r="B44" s="58">
        <v>44236</v>
      </c>
      <c r="C44" s="60">
        <f>MONTH(SAÍDAS[[#This Row],[Data da Saída]])</f>
        <v>2</v>
      </c>
      <c r="D44" s="60">
        <f>YEAR(SAÍDAS[[#This Row],[Data da Saída]])</f>
        <v>2021</v>
      </c>
      <c r="E44" s="71" t="s">
        <v>97</v>
      </c>
      <c r="F44" s="71" t="s">
        <v>99</v>
      </c>
      <c r="G44" s="61">
        <v>26</v>
      </c>
      <c r="H44" s="72"/>
    </row>
    <row r="45" spans="2:8">
      <c r="B45" s="58">
        <v>44237</v>
      </c>
      <c r="C45" s="60">
        <f>MONTH(SAÍDAS[[#This Row],[Data da Saída]])</f>
        <v>2</v>
      </c>
      <c r="D45" s="60">
        <f>YEAR(SAÍDAS[[#This Row],[Data da Saída]])</f>
        <v>2021</v>
      </c>
      <c r="E45" s="71" t="s">
        <v>93</v>
      </c>
      <c r="F45" s="71" t="s">
        <v>101</v>
      </c>
      <c r="G45" s="61">
        <v>3</v>
      </c>
      <c r="H45" s="72"/>
    </row>
    <row r="46" spans="2:8">
      <c r="B46" s="58">
        <v>44238</v>
      </c>
      <c r="C46" s="60">
        <f>MONTH(SAÍDAS[[#This Row],[Data da Saída]])</f>
        <v>2</v>
      </c>
      <c r="D46" s="60">
        <f>YEAR(SAÍDAS[[#This Row],[Data da Saída]])</f>
        <v>2021</v>
      </c>
      <c r="E46" s="71" t="s">
        <v>86</v>
      </c>
      <c r="F46" s="71" t="s">
        <v>101</v>
      </c>
      <c r="G46" s="61">
        <v>6</v>
      </c>
      <c r="H46" s="72"/>
    </row>
    <row r="47" spans="2:8">
      <c r="B47" s="58">
        <v>44239</v>
      </c>
      <c r="C47" s="60">
        <f>MONTH(SAÍDAS[[#This Row],[Data da Saída]])</f>
        <v>2</v>
      </c>
      <c r="D47" s="60">
        <f>YEAR(SAÍDAS[[#This Row],[Data da Saída]])</f>
        <v>2021</v>
      </c>
      <c r="E47" s="71" t="s">
        <v>94</v>
      </c>
      <c r="F47" s="71" t="s">
        <v>100</v>
      </c>
      <c r="G47" s="61">
        <v>22</v>
      </c>
      <c r="H47" s="72"/>
    </row>
    <row r="48" spans="2:8">
      <c r="B48" s="58">
        <v>44240</v>
      </c>
      <c r="C48" s="60">
        <f>MONTH(SAÍDAS[[#This Row],[Data da Saída]])</f>
        <v>2</v>
      </c>
      <c r="D48" s="60">
        <f>YEAR(SAÍDAS[[#This Row],[Data da Saída]])</f>
        <v>2021</v>
      </c>
      <c r="E48" s="71" t="s">
        <v>89</v>
      </c>
      <c r="F48" s="71" t="s">
        <v>101</v>
      </c>
      <c r="G48" s="61">
        <v>24</v>
      </c>
      <c r="H48" s="72"/>
    </row>
    <row r="49" spans="2:8">
      <c r="B49" s="58">
        <v>44241</v>
      </c>
      <c r="C49" s="60">
        <f>MONTH(SAÍDAS[[#This Row],[Data da Saída]])</f>
        <v>2</v>
      </c>
      <c r="D49" s="60">
        <f>YEAR(SAÍDAS[[#This Row],[Data da Saída]])</f>
        <v>2021</v>
      </c>
      <c r="E49" s="71" t="s">
        <v>88</v>
      </c>
      <c r="F49" s="71" t="s">
        <v>99</v>
      </c>
      <c r="G49" s="61">
        <v>24</v>
      </c>
      <c r="H49" s="72"/>
    </row>
    <row r="50" spans="2:8">
      <c r="B50" s="58">
        <v>44242</v>
      </c>
      <c r="C50" s="60">
        <f>MONTH(SAÍDAS[[#This Row],[Data da Saída]])</f>
        <v>2</v>
      </c>
      <c r="D50" s="60">
        <f>YEAR(SAÍDAS[[#This Row],[Data da Saída]])</f>
        <v>2021</v>
      </c>
      <c r="E50" s="71" t="s">
        <v>90</v>
      </c>
      <c r="F50" s="71" t="s">
        <v>102</v>
      </c>
      <c r="G50" s="61">
        <v>15</v>
      </c>
      <c r="H50" s="72"/>
    </row>
    <row r="51" spans="2:8">
      <c r="B51" s="58">
        <v>44243</v>
      </c>
      <c r="C51" s="60">
        <f>MONTH(SAÍDAS[[#This Row],[Data da Saída]])</f>
        <v>2</v>
      </c>
      <c r="D51" s="60">
        <f>YEAR(SAÍDAS[[#This Row],[Data da Saída]])</f>
        <v>2021</v>
      </c>
      <c r="E51" s="71" t="s">
        <v>90</v>
      </c>
      <c r="F51" s="71" t="s">
        <v>103</v>
      </c>
      <c r="G51" s="61">
        <v>1</v>
      </c>
      <c r="H51" s="72"/>
    </row>
    <row r="52" spans="2:8">
      <c r="B52" s="58">
        <v>44244</v>
      </c>
      <c r="C52" s="60">
        <f>MONTH(SAÍDAS[[#This Row],[Data da Saída]])</f>
        <v>2</v>
      </c>
      <c r="D52" s="60">
        <f>YEAR(SAÍDAS[[#This Row],[Data da Saída]])</f>
        <v>2021</v>
      </c>
      <c r="E52" s="71" t="s">
        <v>84</v>
      </c>
      <c r="F52" s="71" t="s">
        <v>98</v>
      </c>
      <c r="G52" s="61">
        <v>16</v>
      </c>
      <c r="H52" s="72"/>
    </row>
    <row r="53" spans="2:8">
      <c r="B53" s="58">
        <v>44245</v>
      </c>
      <c r="C53" s="60">
        <f>MONTH(SAÍDAS[[#This Row],[Data da Saída]])</f>
        <v>2</v>
      </c>
      <c r="D53" s="60">
        <f>YEAR(SAÍDAS[[#This Row],[Data da Saída]])</f>
        <v>2021</v>
      </c>
      <c r="E53" s="71" t="s">
        <v>84</v>
      </c>
      <c r="F53" s="71" t="s">
        <v>102</v>
      </c>
      <c r="G53" s="61">
        <v>1</v>
      </c>
      <c r="H53" s="72"/>
    </row>
    <row r="54" spans="2:8">
      <c r="B54" s="58">
        <v>44246</v>
      </c>
      <c r="C54" s="60">
        <f>MONTH(SAÍDAS[[#This Row],[Data da Saída]])</f>
        <v>2</v>
      </c>
      <c r="D54" s="60">
        <f>YEAR(SAÍDAS[[#This Row],[Data da Saída]])</f>
        <v>2021</v>
      </c>
      <c r="E54" s="71" t="s">
        <v>89</v>
      </c>
      <c r="F54" s="71" t="s">
        <v>99</v>
      </c>
      <c r="G54" s="61">
        <v>7</v>
      </c>
      <c r="H54" s="72"/>
    </row>
    <row r="55" spans="2:8">
      <c r="B55" s="58">
        <v>44247</v>
      </c>
      <c r="C55" s="60">
        <f>MONTH(SAÍDAS[[#This Row],[Data da Saída]])</f>
        <v>2</v>
      </c>
      <c r="D55" s="60">
        <f>YEAR(SAÍDAS[[#This Row],[Data da Saída]])</f>
        <v>2021</v>
      </c>
      <c r="E55" s="71" t="s">
        <v>92</v>
      </c>
      <c r="F55" s="71" t="s">
        <v>98</v>
      </c>
      <c r="G55" s="61">
        <v>24</v>
      </c>
      <c r="H55" s="72"/>
    </row>
    <row r="56" spans="2:8">
      <c r="B56" s="58">
        <v>44248</v>
      </c>
      <c r="C56" s="60">
        <f>MONTH(SAÍDAS[[#This Row],[Data da Saída]])</f>
        <v>2</v>
      </c>
      <c r="D56" s="60">
        <f>YEAR(SAÍDAS[[#This Row],[Data da Saída]])</f>
        <v>2021</v>
      </c>
      <c r="E56" s="71" t="s">
        <v>89</v>
      </c>
      <c r="F56" s="71" t="s">
        <v>102</v>
      </c>
      <c r="G56" s="61">
        <v>7</v>
      </c>
      <c r="H56" s="72"/>
    </row>
    <row r="57" spans="2:8">
      <c r="B57" s="58">
        <v>44249</v>
      </c>
      <c r="C57" s="60">
        <f>MONTH(SAÍDAS[[#This Row],[Data da Saída]])</f>
        <v>2</v>
      </c>
      <c r="D57" s="60">
        <f>YEAR(SAÍDAS[[#This Row],[Data da Saída]])</f>
        <v>2021</v>
      </c>
      <c r="E57" s="71" t="s">
        <v>95</v>
      </c>
      <c r="F57" s="71" t="s">
        <v>101</v>
      </c>
      <c r="G57" s="61">
        <v>23</v>
      </c>
      <c r="H57" s="72"/>
    </row>
    <row r="58" spans="2:8">
      <c r="B58" s="58">
        <v>44250</v>
      </c>
      <c r="C58" s="60">
        <f>MONTH(SAÍDAS[[#This Row],[Data da Saída]])</f>
        <v>2</v>
      </c>
      <c r="D58" s="60">
        <f>YEAR(SAÍDAS[[#This Row],[Data da Saída]])</f>
        <v>2021</v>
      </c>
      <c r="E58" s="71" t="s">
        <v>84</v>
      </c>
      <c r="F58" s="71" t="s">
        <v>101</v>
      </c>
      <c r="G58" s="61">
        <v>23</v>
      </c>
      <c r="H58" s="72"/>
    </row>
    <row r="59" spans="2:8">
      <c r="B59" s="58">
        <v>44251</v>
      </c>
      <c r="C59" s="60">
        <f>MONTH(SAÍDAS[[#This Row],[Data da Saída]])</f>
        <v>2</v>
      </c>
      <c r="D59" s="60">
        <f>YEAR(SAÍDAS[[#This Row],[Data da Saída]])</f>
        <v>2021</v>
      </c>
      <c r="E59" s="71" t="s">
        <v>90</v>
      </c>
      <c r="F59" s="71" t="s">
        <v>98</v>
      </c>
      <c r="G59" s="61">
        <v>2</v>
      </c>
      <c r="H59" s="72"/>
    </row>
    <row r="60" spans="2:8">
      <c r="B60" s="58">
        <v>44252</v>
      </c>
      <c r="C60" s="60">
        <f>MONTH(SAÍDAS[[#This Row],[Data da Saída]])</f>
        <v>2</v>
      </c>
      <c r="D60" s="60">
        <f>YEAR(SAÍDAS[[#This Row],[Data da Saída]])</f>
        <v>2021</v>
      </c>
      <c r="E60" s="71" t="s">
        <v>84</v>
      </c>
      <c r="F60" s="71" t="s">
        <v>100</v>
      </c>
      <c r="G60" s="61">
        <v>1</v>
      </c>
      <c r="H60" s="72"/>
    </row>
    <row r="61" spans="2:8">
      <c r="B61" s="58">
        <v>44253</v>
      </c>
      <c r="C61" s="60">
        <f>MONTH(SAÍDAS[[#This Row],[Data da Saída]])</f>
        <v>2</v>
      </c>
      <c r="D61" s="60">
        <f>YEAR(SAÍDAS[[#This Row],[Data da Saída]])</f>
        <v>2021</v>
      </c>
      <c r="E61" s="71" t="s">
        <v>91</v>
      </c>
      <c r="F61" s="71" t="s">
        <v>103</v>
      </c>
      <c r="G61" s="61">
        <v>27</v>
      </c>
      <c r="H61" s="72"/>
    </row>
    <row r="62" spans="2:8">
      <c r="B62" s="58">
        <v>44254</v>
      </c>
      <c r="C62" s="60">
        <f>MONTH(SAÍDAS[[#This Row],[Data da Saída]])</f>
        <v>2</v>
      </c>
      <c r="D62" s="60">
        <f>YEAR(SAÍDAS[[#This Row],[Data da Saída]])</f>
        <v>2021</v>
      </c>
      <c r="E62" s="71" t="s">
        <v>85</v>
      </c>
      <c r="F62" s="71" t="s">
        <v>102</v>
      </c>
      <c r="G62" s="61">
        <v>14</v>
      </c>
      <c r="H62" s="72"/>
    </row>
    <row r="63" spans="2:8">
      <c r="B63" s="58">
        <v>44255</v>
      </c>
      <c r="C63" s="60">
        <f>MONTH(SAÍDAS[[#This Row],[Data da Saída]])</f>
        <v>2</v>
      </c>
      <c r="D63" s="60">
        <f>YEAR(SAÍDAS[[#This Row],[Data da Saída]])</f>
        <v>2021</v>
      </c>
      <c r="E63" s="71" t="s">
        <v>94</v>
      </c>
      <c r="F63" s="71" t="s">
        <v>101</v>
      </c>
      <c r="G63" s="61">
        <v>2</v>
      </c>
      <c r="H63" s="72"/>
    </row>
    <row r="64" spans="2:8">
      <c r="B64" s="58">
        <v>44256</v>
      </c>
      <c r="C64" s="60">
        <f>MONTH(SAÍDAS[[#This Row],[Data da Saída]])</f>
        <v>3</v>
      </c>
      <c r="D64" s="60">
        <f>YEAR(SAÍDAS[[#This Row],[Data da Saída]])</f>
        <v>2021</v>
      </c>
      <c r="E64" s="71" t="s">
        <v>83</v>
      </c>
      <c r="F64" s="71" t="s">
        <v>100</v>
      </c>
      <c r="G64" s="61">
        <v>4</v>
      </c>
      <c r="H64" s="72"/>
    </row>
    <row r="65" spans="2:8">
      <c r="B65" s="58">
        <v>44257</v>
      </c>
      <c r="C65" s="60">
        <f>MONTH(SAÍDAS[[#This Row],[Data da Saída]])</f>
        <v>3</v>
      </c>
      <c r="D65" s="60">
        <f>YEAR(SAÍDAS[[#This Row],[Data da Saída]])</f>
        <v>2021</v>
      </c>
      <c r="E65" s="71" t="s">
        <v>86</v>
      </c>
      <c r="F65" s="71" t="s">
        <v>102</v>
      </c>
      <c r="G65" s="61">
        <v>10</v>
      </c>
      <c r="H65" s="72"/>
    </row>
    <row r="66" spans="2:8">
      <c r="B66" s="58">
        <v>44258</v>
      </c>
      <c r="C66" s="60">
        <f>MONTH(SAÍDAS[[#This Row],[Data da Saída]])</f>
        <v>3</v>
      </c>
      <c r="D66" s="60">
        <f>YEAR(SAÍDAS[[#This Row],[Data da Saída]])</f>
        <v>2021</v>
      </c>
      <c r="E66" s="71" t="s">
        <v>96</v>
      </c>
      <c r="F66" s="71" t="s">
        <v>102</v>
      </c>
      <c r="G66" s="61">
        <v>20</v>
      </c>
      <c r="H66" s="72"/>
    </row>
    <row r="67" spans="2:8">
      <c r="B67" s="58">
        <v>44259</v>
      </c>
      <c r="C67" s="60">
        <f>MONTH(SAÍDAS[[#This Row],[Data da Saída]])</f>
        <v>3</v>
      </c>
      <c r="D67" s="60">
        <f>YEAR(SAÍDAS[[#This Row],[Data da Saída]])</f>
        <v>2021</v>
      </c>
      <c r="E67" s="71" t="s">
        <v>87</v>
      </c>
      <c r="F67" s="71" t="s">
        <v>103</v>
      </c>
      <c r="G67" s="61">
        <v>9</v>
      </c>
      <c r="H67" s="72"/>
    </row>
    <row r="68" spans="2:8">
      <c r="B68" s="58">
        <v>44260</v>
      </c>
      <c r="C68" s="60">
        <f>MONTH(SAÍDAS[[#This Row],[Data da Saída]])</f>
        <v>3</v>
      </c>
      <c r="D68" s="60">
        <f>YEAR(SAÍDAS[[#This Row],[Data da Saída]])</f>
        <v>2021</v>
      </c>
      <c r="E68" s="71" t="s">
        <v>94</v>
      </c>
      <c r="F68" s="71" t="s">
        <v>99</v>
      </c>
      <c r="G68" s="61">
        <v>6</v>
      </c>
      <c r="H68" s="72"/>
    </row>
    <row r="69" spans="2:8">
      <c r="B69" s="58">
        <v>44261</v>
      </c>
      <c r="C69" s="60">
        <f>MONTH(SAÍDAS[[#This Row],[Data da Saída]])</f>
        <v>3</v>
      </c>
      <c r="D69" s="60">
        <f>YEAR(SAÍDAS[[#This Row],[Data da Saída]])</f>
        <v>2021</v>
      </c>
      <c r="E69" s="71" t="s">
        <v>88</v>
      </c>
      <c r="F69" s="71" t="s">
        <v>103</v>
      </c>
      <c r="G69" s="61">
        <v>11</v>
      </c>
      <c r="H69" s="72"/>
    </row>
    <row r="70" spans="2:8">
      <c r="B70" s="58">
        <v>44262</v>
      </c>
      <c r="C70" s="60">
        <f>MONTH(SAÍDAS[[#This Row],[Data da Saída]])</f>
        <v>3</v>
      </c>
      <c r="D70" s="60">
        <f>YEAR(SAÍDAS[[#This Row],[Data da Saída]])</f>
        <v>2021</v>
      </c>
      <c r="E70" s="71" t="s">
        <v>87</v>
      </c>
      <c r="F70" s="71" t="s">
        <v>98</v>
      </c>
      <c r="G70" s="61">
        <v>24</v>
      </c>
      <c r="H70" s="72"/>
    </row>
    <row r="71" spans="2:8">
      <c r="B71" s="58">
        <v>44263</v>
      </c>
      <c r="C71" s="60">
        <f>MONTH(SAÍDAS[[#This Row],[Data da Saída]])</f>
        <v>3</v>
      </c>
      <c r="D71" s="60">
        <f>YEAR(SAÍDAS[[#This Row],[Data da Saída]])</f>
        <v>2021</v>
      </c>
      <c r="E71" s="71" t="s">
        <v>94</v>
      </c>
      <c r="F71" s="71" t="s">
        <v>100</v>
      </c>
      <c r="G71" s="61">
        <v>10</v>
      </c>
      <c r="H71" s="72"/>
    </row>
    <row r="72" spans="2:8">
      <c r="B72" s="58">
        <v>44264</v>
      </c>
      <c r="C72" s="60">
        <f>MONTH(SAÍDAS[[#This Row],[Data da Saída]])</f>
        <v>3</v>
      </c>
      <c r="D72" s="60">
        <f>YEAR(SAÍDAS[[#This Row],[Data da Saída]])</f>
        <v>2021</v>
      </c>
      <c r="E72" s="71" t="s">
        <v>83</v>
      </c>
      <c r="F72" s="71" t="s">
        <v>101</v>
      </c>
      <c r="G72" s="61">
        <v>4</v>
      </c>
      <c r="H72" s="72"/>
    </row>
    <row r="73" spans="2:8">
      <c r="B73" s="58">
        <v>44265</v>
      </c>
      <c r="C73" s="60">
        <f>MONTH(SAÍDAS[[#This Row],[Data da Saída]])</f>
        <v>3</v>
      </c>
      <c r="D73" s="60">
        <f>YEAR(SAÍDAS[[#This Row],[Data da Saída]])</f>
        <v>2021</v>
      </c>
      <c r="E73" s="71" t="s">
        <v>91</v>
      </c>
      <c r="F73" s="71" t="s">
        <v>98</v>
      </c>
      <c r="G73" s="61">
        <v>20</v>
      </c>
      <c r="H73" s="72"/>
    </row>
    <row r="74" spans="2:8">
      <c r="B74" s="58">
        <v>44266</v>
      </c>
      <c r="C74" s="60">
        <f>MONTH(SAÍDAS[[#This Row],[Data da Saída]])</f>
        <v>3</v>
      </c>
      <c r="D74" s="60">
        <f>YEAR(SAÍDAS[[#This Row],[Data da Saída]])</f>
        <v>2021</v>
      </c>
      <c r="E74" s="71" t="s">
        <v>92</v>
      </c>
      <c r="F74" s="71" t="s">
        <v>101</v>
      </c>
      <c r="G74" s="61">
        <v>24</v>
      </c>
      <c r="H74" s="72"/>
    </row>
    <row r="75" spans="2:8">
      <c r="B75" s="58">
        <v>44267</v>
      </c>
      <c r="C75" s="60">
        <f>MONTH(SAÍDAS[[#This Row],[Data da Saída]])</f>
        <v>3</v>
      </c>
      <c r="D75" s="60">
        <f>YEAR(SAÍDAS[[#This Row],[Data da Saída]])</f>
        <v>2021</v>
      </c>
      <c r="E75" s="71" t="s">
        <v>85</v>
      </c>
      <c r="F75" s="71" t="s">
        <v>98</v>
      </c>
      <c r="G75" s="61">
        <v>20</v>
      </c>
      <c r="H75" s="72"/>
    </row>
    <row r="76" spans="2:8">
      <c r="B76" s="58">
        <v>44268</v>
      </c>
      <c r="C76" s="60">
        <f>MONTH(SAÍDAS[[#This Row],[Data da Saída]])</f>
        <v>3</v>
      </c>
      <c r="D76" s="60">
        <f>YEAR(SAÍDAS[[#This Row],[Data da Saída]])</f>
        <v>2021</v>
      </c>
      <c r="E76" s="71" t="s">
        <v>86</v>
      </c>
      <c r="F76" s="71" t="s">
        <v>99</v>
      </c>
      <c r="G76" s="61">
        <v>8</v>
      </c>
      <c r="H76" s="72"/>
    </row>
    <row r="77" spans="2:8">
      <c r="B77" s="58">
        <v>44269</v>
      </c>
      <c r="C77" s="60">
        <f>MONTH(SAÍDAS[[#This Row],[Data da Saída]])</f>
        <v>3</v>
      </c>
      <c r="D77" s="60">
        <f>YEAR(SAÍDAS[[#This Row],[Data da Saída]])</f>
        <v>2021</v>
      </c>
      <c r="E77" s="71" t="s">
        <v>97</v>
      </c>
      <c r="F77" s="71" t="s">
        <v>100</v>
      </c>
      <c r="G77" s="61">
        <v>19</v>
      </c>
      <c r="H77" s="72"/>
    </row>
    <row r="78" spans="2:8">
      <c r="B78" s="58">
        <v>44270</v>
      </c>
      <c r="C78" s="60">
        <f>MONTH(SAÍDAS[[#This Row],[Data da Saída]])</f>
        <v>3</v>
      </c>
      <c r="D78" s="60">
        <f>YEAR(SAÍDAS[[#This Row],[Data da Saída]])</f>
        <v>2021</v>
      </c>
      <c r="E78" s="71" t="s">
        <v>86</v>
      </c>
      <c r="F78" s="71" t="s">
        <v>100</v>
      </c>
      <c r="G78" s="61">
        <v>19</v>
      </c>
      <c r="H78" s="72"/>
    </row>
    <row r="79" spans="2:8">
      <c r="B79" s="58">
        <v>44271</v>
      </c>
      <c r="C79" s="60">
        <f>MONTH(SAÍDAS[[#This Row],[Data da Saída]])</f>
        <v>3</v>
      </c>
      <c r="D79" s="60">
        <f>YEAR(SAÍDAS[[#This Row],[Data da Saída]])</f>
        <v>2021</v>
      </c>
      <c r="E79" s="71" t="s">
        <v>95</v>
      </c>
      <c r="F79" s="71" t="s">
        <v>99</v>
      </c>
      <c r="G79" s="61">
        <v>7</v>
      </c>
      <c r="H79" s="72"/>
    </row>
    <row r="80" spans="2:8">
      <c r="B80" s="58">
        <v>44272</v>
      </c>
      <c r="C80" s="60">
        <f>MONTH(SAÍDAS[[#This Row],[Data da Saída]])</f>
        <v>3</v>
      </c>
      <c r="D80" s="60">
        <f>YEAR(SAÍDAS[[#This Row],[Data da Saída]])</f>
        <v>2021</v>
      </c>
      <c r="E80" s="71" t="s">
        <v>90</v>
      </c>
      <c r="F80" s="71" t="s">
        <v>98</v>
      </c>
      <c r="G80" s="61">
        <v>8</v>
      </c>
      <c r="H80" s="72"/>
    </row>
    <row r="81" spans="2:8">
      <c r="B81" s="58">
        <v>44273</v>
      </c>
      <c r="C81" s="60">
        <f>MONTH(SAÍDAS[[#This Row],[Data da Saída]])</f>
        <v>3</v>
      </c>
      <c r="D81" s="60">
        <f>YEAR(SAÍDAS[[#This Row],[Data da Saída]])</f>
        <v>2021</v>
      </c>
      <c r="E81" s="71" t="s">
        <v>92</v>
      </c>
      <c r="F81" s="71" t="s">
        <v>98</v>
      </c>
      <c r="G81" s="61">
        <v>21</v>
      </c>
      <c r="H81" s="72"/>
    </row>
    <row r="82" spans="2:8">
      <c r="B82" s="58">
        <v>44274</v>
      </c>
      <c r="C82" s="60">
        <f>MONTH(SAÍDAS[[#This Row],[Data da Saída]])</f>
        <v>3</v>
      </c>
      <c r="D82" s="60">
        <f>YEAR(SAÍDAS[[#This Row],[Data da Saída]])</f>
        <v>2021</v>
      </c>
      <c r="E82" s="71" t="s">
        <v>91</v>
      </c>
      <c r="F82" s="71" t="s">
        <v>102</v>
      </c>
      <c r="G82" s="61">
        <v>21</v>
      </c>
      <c r="H82" s="72"/>
    </row>
    <row r="83" spans="2:8">
      <c r="B83" s="58">
        <v>44275</v>
      </c>
      <c r="C83" s="60">
        <f>MONTH(SAÍDAS[[#This Row],[Data da Saída]])</f>
        <v>3</v>
      </c>
      <c r="D83" s="60">
        <f>YEAR(SAÍDAS[[#This Row],[Data da Saída]])</f>
        <v>2021</v>
      </c>
      <c r="E83" s="71" t="s">
        <v>90</v>
      </c>
      <c r="F83" s="71" t="s">
        <v>98</v>
      </c>
      <c r="G83" s="61">
        <v>23</v>
      </c>
      <c r="H83" s="72"/>
    </row>
    <row r="84" spans="2:8">
      <c r="B84" s="58">
        <v>44276</v>
      </c>
      <c r="C84" s="60">
        <f>MONTH(SAÍDAS[[#This Row],[Data da Saída]])</f>
        <v>3</v>
      </c>
      <c r="D84" s="60">
        <f>YEAR(SAÍDAS[[#This Row],[Data da Saída]])</f>
        <v>2021</v>
      </c>
      <c r="E84" s="71" t="s">
        <v>89</v>
      </c>
      <c r="F84" s="71" t="s">
        <v>98</v>
      </c>
      <c r="G84" s="61">
        <v>9</v>
      </c>
      <c r="H84" s="72"/>
    </row>
    <row r="85" spans="2:8">
      <c r="B85" s="58">
        <v>44277</v>
      </c>
      <c r="C85" s="60">
        <f>MONTH(SAÍDAS[[#This Row],[Data da Saída]])</f>
        <v>3</v>
      </c>
      <c r="D85" s="60">
        <f>YEAR(SAÍDAS[[#This Row],[Data da Saída]])</f>
        <v>2021</v>
      </c>
      <c r="E85" s="71" t="s">
        <v>88</v>
      </c>
      <c r="F85" s="71" t="s">
        <v>98</v>
      </c>
      <c r="G85" s="61">
        <v>27</v>
      </c>
      <c r="H85" s="72"/>
    </row>
    <row r="86" spans="2:8">
      <c r="B86" s="58">
        <v>44278</v>
      </c>
      <c r="C86" s="60">
        <f>MONTH(SAÍDAS[[#This Row],[Data da Saída]])</f>
        <v>3</v>
      </c>
      <c r="D86" s="60">
        <f>YEAR(SAÍDAS[[#This Row],[Data da Saída]])</f>
        <v>2021</v>
      </c>
      <c r="E86" s="71" t="s">
        <v>82</v>
      </c>
      <c r="F86" s="71" t="s">
        <v>99</v>
      </c>
      <c r="G86" s="61">
        <v>24</v>
      </c>
      <c r="H86" s="72"/>
    </row>
    <row r="87" spans="2:8">
      <c r="B87" s="58">
        <v>44279</v>
      </c>
      <c r="C87" s="60">
        <f>MONTH(SAÍDAS[[#This Row],[Data da Saída]])</f>
        <v>3</v>
      </c>
      <c r="D87" s="60">
        <f>YEAR(SAÍDAS[[#This Row],[Data da Saída]])</f>
        <v>2021</v>
      </c>
      <c r="E87" s="71" t="s">
        <v>84</v>
      </c>
      <c r="F87" s="71" t="s">
        <v>102</v>
      </c>
      <c r="G87" s="61">
        <v>20</v>
      </c>
      <c r="H87" s="72"/>
    </row>
    <row r="88" spans="2:8">
      <c r="B88" s="58">
        <v>44280</v>
      </c>
      <c r="C88" s="60">
        <f>MONTH(SAÍDAS[[#This Row],[Data da Saída]])</f>
        <v>3</v>
      </c>
      <c r="D88" s="60">
        <f>YEAR(SAÍDAS[[#This Row],[Data da Saída]])</f>
        <v>2021</v>
      </c>
      <c r="E88" s="71" t="s">
        <v>96</v>
      </c>
      <c r="F88" s="71" t="s">
        <v>99</v>
      </c>
      <c r="G88" s="61">
        <v>15</v>
      </c>
      <c r="H88" s="72"/>
    </row>
    <row r="89" spans="2:8">
      <c r="B89" s="58">
        <v>44281</v>
      </c>
      <c r="C89" s="60">
        <f>MONTH(SAÍDAS[[#This Row],[Data da Saída]])</f>
        <v>3</v>
      </c>
      <c r="D89" s="60">
        <f>YEAR(SAÍDAS[[#This Row],[Data da Saída]])</f>
        <v>2021</v>
      </c>
      <c r="E89" s="71" t="s">
        <v>85</v>
      </c>
      <c r="F89" s="71" t="s">
        <v>98</v>
      </c>
      <c r="G89" s="61">
        <v>20</v>
      </c>
      <c r="H89" s="72"/>
    </row>
    <row r="90" spans="2:8">
      <c r="B90" s="58">
        <v>44282</v>
      </c>
      <c r="C90" s="60">
        <f>MONTH(SAÍDAS[[#This Row],[Data da Saída]])</f>
        <v>3</v>
      </c>
      <c r="D90" s="60">
        <f>YEAR(SAÍDAS[[#This Row],[Data da Saída]])</f>
        <v>2021</v>
      </c>
      <c r="E90" s="71" t="s">
        <v>90</v>
      </c>
      <c r="F90" s="71" t="s">
        <v>100</v>
      </c>
      <c r="G90" s="61">
        <v>20</v>
      </c>
      <c r="H90" s="72"/>
    </row>
    <row r="91" spans="2:8">
      <c r="B91" s="58">
        <v>44283</v>
      </c>
      <c r="C91" s="60">
        <f>MONTH(SAÍDAS[[#This Row],[Data da Saída]])</f>
        <v>3</v>
      </c>
      <c r="D91" s="60">
        <f>YEAR(SAÍDAS[[#This Row],[Data da Saída]])</f>
        <v>2021</v>
      </c>
      <c r="E91" s="71" t="s">
        <v>87</v>
      </c>
      <c r="F91" s="71" t="s">
        <v>100</v>
      </c>
      <c r="G91" s="61">
        <v>9</v>
      </c>
      <c r="H91" s="72"/>
    </row>
    <row r="92" spans="2:8">
      <c r="B92" s="58">
        <v>44284</v>
      </c>
      <c r="C92" s="60">
        <f>MONTH(SAÍDAS[[#This Row],[Data da Saída]])</f>
        <v>3</v>
      </c>
      <c r="D92" s="60">
        <f>YEAR(SAÍDAS[[#This Row],[Data da Saída]])</f>
        <v>2021</v>
      </c>
      <c r="E92" s="71" t="s">
        <v>86</v>
      </c>
      <c r="F92" s="71" t="s">
        <v>102</v>
      </c>
      <c r="G92" s="61">
        <v>9</v>
      </c>
      <c r="H92" s="72"/>
    </row>
    <row r="93" spans="2:8">
      <c r="B93" s="58">
        <v>44285</v>
      </c>
      <c r="C93" s="60">
        <f>MONTH(SAÍDAS[[#This Row],[Data da Saída]])</f>
        <v>3</v>
      </c>
      <c r="D93" s="60">
        <f>YEAR(SAÍDAS[[#This Row],[Data da Saída]])</f>
        <v>2021</v>
      </c>
      <c r="E93" s="71" t="s">
        <v>88</v>
      </c>
      <c r="F93" s="71" t="s">
        <v>103</v>
      </c>
      <c r="G93" s="61">
        <v>20</v>
      </c>
      <c r="H93" s="72"/>
    </row>
    <row r="94" spans="2:8">
      <c r="B94" s="58">
        <v>44286</v>
      </c>
      <c r="C94" s="60">
        <f>MONTH(SAÍDAS[[#This Row],[Data da Saída]])</f>
        <v>3</v>
      </c>
      <c r="D94" s="60">
        <f>YEAR(SAÍDAS[[#This Row],[Data da Saída]])</f>
        <v>2021</v>
      </c>
      <c r="E94" s="71" t="s">
        <v>84</v>
      </c>
      <c r="F94" s="71" t="s">
        <v>103</v>
      </c>
      <c r="G94" s="61">
        <v>26</v>
      </c>
      <c r="H94" s="72"/>
    </row>
    <row r="95" spans="2:8">
      <c r="B95" s="58">
        <v>44287</v>
      </c>
      <c r="C95" s="60">
        <f>MONTH(SAÍDAS[[#This Row],[Data da Saída]])</f>
        <v>4</v>
      </c>
      <c r="D95" s="60">
        <f>YEAR(SAÍDAS[[#This Row],[Data da Saída]])</f>
        <v>2021</v>
      </c>
      <c r="E95" s="71" t="s">
        <v>96</v>
      </c>
      <c r="F95" s="71" t="s">
        <v>102</v>
      </c>
      <c r="G95" s="61">
        <v>19</v>
      </c>
      <c r="H95" s="72"/>
    </row>
    <row r="96" spans="2:8">
      <c r="B96" s="58">
        <v>44288</v>
      </c>
      <c r="C96" s="60">
        <f>MONTH(SAÍDAS[[#This Row],[Data da Saída]])</f>
        <v>4</v>
      </c>
      <c r="D96" s="60">
        <f>YEAR(SAÍDAS[[#This Row],[Data da Saída]])</f>
        <v>2021</v>
      </c>
      <c r="E96" s="71" t="s">
        <v>94</v>
      </c>
      <c r="F96" s="71" t="s">
        <v>103</v>
      </c>
      <c r="G96" s="61">
        <v>2</v>
      </c>
      <c r="H96" s="72"/>
    </row>
    <row r="97" spans="2:8">
      <c r="B97" s="58">
        <v>44289</v>
      </c>
      <c r="C97" s="60">
        <f>MONTH(SAÍDAS[[#This Row],[Data da Saída]])</f>
        <v>4</v>
      </c>
      <c r="D97" s="60">
        <f>YEAR(SAÍDAS[[#This Row],[Data da Saída]])</f>
        <v>2021</v>
      </c>
      <c r="E97" s="71" t="s">
        <v>83</v>
      </c>
      <c r="F97" s="71" t="s">
        <v>99</v>
      </c>
      <c r="G97" s="61">
        <v>4</v>
      </c>
      <c r="H97" s="72"/>
    </row>
    <row r="98" spans="2:8">
      <c r="B98" s="58">
        <v>44290</v>
      </c>
      <c r="C98" s="60">
        <f>MONTH(SAÍDAS[[#This Row],[Data da Saída]])</f>
        <v>4</v>
      </c>
      <c r="D98" s="60">
        <f>YEAR(SAÍDAS[[#This Row],[Data da Saída]])</f>
        <v>2021</v>
      </c>
      <c r="E98" s="71" t="s">
        <v>86</v>
      </c>
      <c r="F98" s="71" t="s">
        <v>100</v>
      </c>
      <c r="G98" s="61">
        <v>24</v>
      </c>
      <c r="H98" s="72"/>
    </row>
    <row r="99" spans="2:8">
      <c r="B99" s="58">
        <v>44291</v>
      </c>
      <c r="C99" s="60">
        <f>MONTH(SAÍDAS[[#This Row],[Data da Saída]])</f>
        <v>4</v>
      </c>
      <c r="D99" s="60">
        <f>YEAR(SAÍDAS[[#This Row],[Data da Saída]])</f>
        <v>2021</v>
      </c>
      <c r="E99" s="71" t="s">
        <v>94</v>
      </c>
      <c r="F99" s="71" t="s">
        <v>100</v>
      </c>
      <c r="G99" s="61">
        <v>12</v>
      </c>
      <c r="H99" s="72"/>
    </row>
    <row r="100" spans="2:8">
      <c r="B100" s="58">
        <v>44292</v>
      </c>
      <c r="C100" s="60">
        <f>MONTH(SAÍDAS[[#This Row],[Data da Saída]])</f>
        <v>4</v>
      </c>
      <c r="D100" s="60">
        <f>YEAR(SAÍDAS[[#This Row],[Data da Saída]])</f>
        <v>2021</v>
      </c>
      <c r="E100" s="71" t="s">
        <v>92</v>
      </c>
      <c r="F100" s="71" t="s">
        <v>102</v>
      </c>
      <c r="G100" s="61">
        <v>3</v>
      </c>
      <c r="H100" s="72"/>
    </row>
    <row r="101" spans="2:8">
      <c r="B101" s="58">
        <v>44293</v>
      </c>
      <c r="C101" s="60">
        <f>MONTH(SAÍDAS[[#This Row],[Data da Saída]])</f>
        <v>4</v>
      </c>
      <c r="D101" s="60">
        <f>YEAR(SAÍDAS[[#This Row],[Data da Saída]])</f>
        <v>2021</v>
      </c>
      <c r="E101" s="71" t="s">
        <v>87</v>
      </c>
      <c r="F101" s="71" t="s">
        <v>100</v>
      </c>
      <c r="G101" s="61">
        <v>12</v>
      </c>
      <c r="H101" s="72"/>
    </row>
    <row r="102" spans="2:8">
      <c r="B102" s="58">
        <v>44294</v>
      </c>
      <c r="C102" s="60">
        <f>MONTH(SAÍDAS[[#This Row],[Data da Saída]])</f>
        <v>4</v>
      </c>
      <c r="D102" s="60">
        <f>YEAR(SAÍDAS[[#This Row],[Data da Saída]])</f>
        <v>2021</v>
      </c>
      <c r="E102" s="71" t="s">
        <v>83</v>
      </c>
      <c r="F102" s="71" t="s">
        <v>100</v>
      </c>
      <c r="G102" s="61">
        <v>4</v>
      </c>
      <c r="H102" s="72"/>
    </row>
    <row r="103" spans="2:8">
      <c r="B103" s="58">
        <v>44295</v>
      </c>
      <c r="C103" s="60">
        <f>MONTH(SAÍDAS[[#This Row],[Data da Saída]])</f>
        <v>4</v>
      </c>
      <c r="D103" s="60">
        <f>YEAR(SAÍDAS[[#This Row],[Data da Saída]])</f>
        <v>2021</v>
      </c>
      <c r="E103" s="71" t="s">
        <v>86</v>
      </c>
      <c r="F103" s="71" t="s">
        <v>103</v>
      </c>
      <c r="G103" s="61">
        <v>14</v>
      </c>
      <c r="H103" s="72"/>
    </row>
    <row r="104" spans="2:8">
      <c r="B104" s="58">
        <v>44296</v>
      </c>
      <c r="C104" s="60">
        <f>MONTH(SAÍDAS[[#This Row],[Data da Saída]])</f>
        <v>4</v>
      </c>
      <c r="D104" s="60">
        <f>YEAR(SAÍDAS[[#This Row],[Data da Saída]])</f>
        <v>2021</v>
      </c>
      <c r="E104" s="71" t="s">
        <v>95</v>
      </c>
      <c r="F104" s="71" t="s">
        <v>98</v>
      </c>
      <c r="G104" s="61">
        <v>8</v>
      </c>
      <c r="H104" s="72"/>
    </row>
    <row r="105" spans="2:8">
      <c r="B105" s="58">
        <v>44297</v>
      </c>
      <c r="C105" s="60">
        <f>MONTH(SAÍDAS[[#This Row],[Data da Saída]])</f>
        <v>4</v>
      </c>
      <c r="D105" s="60">
        <f>YEAR(SAÍDAS[[#This Row],[Data da Saída]])</f>
        <v>2021</v>
      </c>
      <c r="E105" s="71" t="s">
        <v>83</v>
      </c>
      <c r="F105" s="71" t="s">
        <v>101</v>
      </c>
      <c r="G105" s="61">
        <v>4</v>
      </c>
      <c r="H105" s="72"/>
    </row>
    <row r="106" spans="2:8">
      <c r="B106" s="58">
        <v>44298</v>
      </c>
      <c r="C106" s="60">
        <f>MONTH(SAÍDAS[[#This Row],[Data da Saída]])</f>
        <v>4</v>
      </c>
      <c r="D106" s="60">
        <f>YEAR(SAÍDAS[[#This Row],[Data da Saída]])</f>
        <v>2021</v>
      </c>
      <c r="E106" s="71" t="s">
        <v>88</v>
      </c>
      <c r="F106" s="71" t="s">
        <v>99</v>
      </c>
      <c r="G106" s="61">
        <v>11</v>
      </c>
      <c r="H106" s="72"/>
    </row>
    <row r="107" spans="2:8">
      <c r="B107" s="58">
        <v>44299</v>
      </c>
      <c r="C107" s="60">
        <f>MONTH(SAÍDAS[[#This Row],[Data da Saída]])</f>
        <v>4</v>
      </c>
      <c r="D107" s="60">
        <f>YEAR(SAÍDAS[[#This Row],[Data da Saída]])</f>
        <v>2021</v>
      </c>
      <c r="E107" s="71" t="s">
        <v>95</v>
      </c>
      <c r="F107" s="71" t="s">
        <v>101</v>
      </c>
      <c r="G107" s="61">
        <v>14</v>
      </c>
      <c r="H107" s="72"/>
    </row>
    <row r="108" spans="2:8">
      <c r="B108" s="58">
        <v>44300</v>
      </c>
      <c r="C108" s="60">
        <f>MONTH(SAÍDAS[[#This Row],[Data da Saída]])</f>
        <v>4</v>
      </c>
      <c r="D108" s="60">
        <f>YEAR(SAÍDAS[[#This Row],[Data da Saída]])</f>
        <v>2021</v>
      </c>
      <c r="E108" s="71" t="s">
        <v>95</v>
      </c>
      <c r="F108" s="71" t="s">
        <v>101</v>
      </c>
      <c r="G108" s="61">
        <v>1</v>
      </c>
      <c r="H108" s="72"/>
    </row>
    <row r="109" spans="2:8">
      <c r="B109" s="58">
        <v>44301</v>
      </c>
      <c r="C109" s="60">
        <f>MONTH(SAÍDAS[[#This Row],[Data da Saída]])</f>
        <v>4</v>
      </c>
      <c r="D109" s="60">
        <f>YEAR(SAÍDAS[[#This Row],[Data da Saída]])</f>
        <v>2021</v>
      </c>
      <c r="E109" s="71" t="s">
        <v>92</v>
      </c>
      <c r="F109" s="71" t="s">
        <v>100</v>
      </c>
      <c r="G109" s="61">
        <v>9</v>
      </c>
      <c r="H109" s="7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B1:G20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ColWidth="7.90625" defaultRowHeight="14.5"/>
  <cols>
    <col min="1" max="1" width="2.90625" customWidth="1"/>
    <col min="2" max="2" width="17.6328125" customWidth="1"/>
    <col min="3" max="6" width="18.36328125" customWidth="1"/>
    <col min="7" max="7" width="26.08984375" bestFit="1" customWidth="1"/>
    <col min="8" max="8" width="22" customWidth="1"/>
    <col min="9" max="10" width="14.453125" customWidth="1"/>
    <col min="11" max="11" width="13.54296875" customWidth="1"/>
  </cols>
  <sheetData>
    <row r="1" spans="2:7" s="23" customFormat="1" ht="39.75" customHeight="1">
      <c r="B1" s="24" t="s">
        <v>22</v>
      </c>
      <c r="C1" s="24"/>
    </row>
    <row r="2" spans="2:7" s="1" customFormat="1" ht="3.75" customHeight="1"/>
    <row r="3" spans="2:7" ht="18.5">
      <c r="B3" s="7"/>
      <c r="C3" s="6"/>
      <c r="D3" s="6"/>
      <c r="E3" s="6"/>
      <c r="F3" s="6"/>
      <c r="G3" s="6"/>
    </row>
    <row r="4" spans="2:7" ht="35.25" customHeight="1">
      <c r="B4" s="27" t="s">
        <v>13</v>
      </c>
      <c r="C4" s="27" t="s">
        <v>23</v>
      </c>
      <c r="D4" s="27" t="s">
        <v>24</v>
      </c>
      <c r="E4" s="39" t="s">
        <v>25</v>
      </c>
      <c r="F4" s="27" t="s">
        <v>2</v>
      </c>
      <c r="G4" s="38" t="s">
        <v>26</v>
      </c>
    </row>
    <row r="5" spans="2:7">
      <c r="B5" s="19" t="s">
        <v>83</v>
      </c>
      <c r="C5" s="19">
        <f>IF(CONTROLE[[#This Row],[Produto]]&lt;&gt;"",SUMIF(ENTRADAS[Produto],CONTROLE[[#This Row],[Produto]],ENTRADAS[Quantidade]),"")</f>
        <v>34</v>
      </c>
      <c r="D5" s="19">
        <f>IF(CONTROLE[[#This Row],[Produto]]&lt;&gt;"",SUMIF(SAÍDAS!E:E,CONTROLE[[#This Row],[Produto]],SAÍDAS!G:G),"")</f>
        <v>34</v>
      </c>
      <c r="E5" s="35">
        <f>IFERROR(CONTROLE[[#This Row],[Entradas]]-CONTROLE[[#This Row],[Saídas]],"")</f>
        <v>0</v>
      </c>
      <c r="F5" s="19">
        <f ca="1">IFERROR(VLOOKUP(CONTROLE[[#This Row],[Produto]],PRODUTO[#All],4,0),"")</f>
        <v>45</v>
      </c>
      <c r="G5" s="20" t="str">
        <f>IF(CONTROLE[[#This Row],[Produto]]&lt;&gt;"",IF(CONTROLE[[#This Row],[Saldo Estoque]]=0,Auxiliar!$B$6,IF(CONTROLE[[#This Row],[Saldo Estoque]]&lt;CONTROLE[[#This Row],[Estoque Mínimo]],Auxiliar!$B$7,Auxiliar!$B$8)),"")</f>
        <v>Sem Estoque | Realizar Pedido</v>
      </c>
    </row>
    <row r="6" spans="2:7">
      <c r="B6" s="19" t="s">
        <v>84</v>
      </c>
      <c r="C6" s="68">
        <f>IF(CONTROLE[[#This Row],[Produto]]&lt;&gt;"",SUMIF(ENTRADAS[Produto],CONTROLE[[#This Row],[Produto]],ENTRADAS[Quantidade]),"")</f>
        <v>134</v>
      </c>
      <c r="D6" s="68">
        <f>IF(CONTROLE[[#This Row],[Produto]]&lt;&gt;"",SUMIF(SAÍDAS!E:E,CONTROLE[[#This Row],[Produto]],SAÍDAS!G:G),"")</f>
        <v>87</v>
      </c>
      <c r="E6" s="69">
        <f>IFERROR(CONTROLE[[#This Row],[Entradas]]-CONTROLE[[#This Row],[Saídas]],"")</f>
        <v>47</v>
      </c>
      <c r="F6" s="70">
        <f ca="1">IFERROR(VLOOKUP(CONTROLE[[#This Row],[Produto]],PRODUTO[#All],4,0),"")</f>
        <v>40</v>
      </c>
      <c r="G6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7" spans="2:7">
      <c r="B7" s="19" t="s">
        <v>85</v>
      </c>
      <c r="C7" s="68">
        <f>IF(CONTROLE[[#This Row],[Produto]]&lt;&gt;"",SUMIF(ENTRADAS[Produto],CONTROLE[[#This Row],[Produto]],ENTRADAS[Quantidade]),"")</f>
        <v>163</v>
      </c>
      <c r="D7" s="68">
        <f>IF(CONTROLE[[#This Row],[Produto]]&lt;&gt;"",SUMIF(SAÍDAS!E:E,CONTROLE[[#This Row],[Produto]],SAÍDAS!G:G),"")</f>
        <v>96</v>
      </c>
      <c r="E7" s="69">
        <f>IFERROR(CONTROLE[[#This Row],[Entradas]]-CONTROLE[[#This Row],[Saídas]],"")</f>
        <v>67</v>
      </c>
      <c r="F7" s="70">
        <f ca="1">IFERROR(VLOOKUP(CONTROLE[[#This Row],[Produto]],PRODUTO[#All],4,0),"")</f>
        <v>35</v>
      </c>
      <c r="G7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8" spans="2:7">
      <c r="B8" s="19" t="s">
        <v>86</v>
      </c>
      <c r="C8" s="68">
        <f>IF(CONTROLE[[#This Row],[Produto]]&lt;&gt;"",SUMIF(ENTRADAS[Produto],CONTROLE[[#This Row],[Produto]],ENTRADAS[Quantidade]),"")</f>
        <v>379</v>
      </c>
      <c r="D8" s="68">
        <f>IF(CONTROLE[[#This Row],[Produto]]&lt;&gt;"",SUMIF(SAÍDAS!E:E,CONTROLE[[#This Row],[Produto]],SAÍDAS!G:G),"")</f>
        <v>124</v>
      </c>
      <c r="E8" s="69">
        <f>IFERROR(CONTROLE[[#This Row],[Entradas]]-CONTROLE[[#This Row],[Saídas]],"")</f>
        <v>255</v>
      </c>
      <c r="F8" s="70">
        <f ca="1">IFERROR(VLOOKUP(CONTROLE[[#This Row],[Produto]],PRODUTO[#All],4,0),"")</f>
        <v>40</v>
      </c>
      <c r="G8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9" spans="2:7">
      <c r="B9" s="19" t="s">
        <v>87</v>
      </c>
      <c r="C9" s="68">
        <f>IF(CONTROLE[[#This Row],[Produto]]&lt;&gt;"",SUMIF(ENTRADAS[Produto],CONTROLE[[#This Row],[Produto]],ENTRADAS[Quantidade]),"")</f>
        <v>304</v>
      </c>
      <c r="D9" s="68">
        <f>IF(CONTROLE[[#This Row],[Produto]]&lt;&gt;"",SUMIF(SAÍDAS!E:E,CONTROLE[[#This Row],[Produto]],SAÍDAS!G:G),"")</f>
        <v>87</v>
      </c>
      <c r="E9" s="69">
        <f>IFERROR(CONTROLE[[#This Row],[Entradas]]-CONTROLE[[#This Row],[Saídas]],"")</f>
        <v>217</v>
      </c>
      <c r="F9" s="70">
        <f ca="1">IFERROR(VLOOKUP(CONTROLE[[#This Row],[Produto]],PRODUTO[#All],4,0),"")</f>
        <v>40</v>
      </c>
      <c r="G9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0" spans="2:7">
      <c r="B10" s="19" t="s">
        <v>88</v>
      </c>
      <c r="C10" s="68">
        <f>IF(CONTROLE[[#This Row],[Produto]]&lt;&gt;"",SUMIF(ENTRADAS[Produto],CONTROLE[[#This Row],[Produto]],ENTRADAS[Quantidade]),"")</f>
        <v>248</v>
      </c>
      <c r="D10" s="68">
        <f>IF(CONTROLE[[#This Row],[Produto]]&lt;&gt;"",SUMIF(SAÍDAS!E:E,CONTROLE[[#This Row],[Produto]],SAÍDAS!G:G),"")</f>
        <v>109</v>
      </c>
      <c r="E10" s="69">
        <f>IFERROR(CONTROLE[[#This Row],[Entradas]]-CONTROLE[[#This Row],[Saídas]],"")</f>
        <v>139</v>
      </c>
      <c r="F10" s="70">
        <f ca="1">IFERROR(VLOOKUP(CONTROLE[[#This Row],[Produto]],PRODUTO[#All],4,0),"")</f>
        <v>42</v>
      </c>
      <c r="G10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1" spans="2:7">
      <c r="B11" s="19" t="s">
        <v>89</v>
      </c>
      <c r="C11" s="68">
        <f>IF(CONTROLE[[#This Row],[Produto]]&lt;&gt;"",SUMIF(ENTRADAS[Produto],CONTROLE[[#This Row],[Produto]],ENTRADAS[Quantidade]),"")</f>
        <v>135</v>
      </c>
      <c r="D11" s="68">
        <f>IF(CONTROLE[[#This Row],[Produto]]&lt;&gt;"",SUMIF(SAÍDAS!E:E,CONTROLE[[#This Row],[Produto]],SAÍDAS!G:G),"")</f>
        <v>74</v>
      </c>
      <c r="E11" s="69">
        <f>IFERROR(CONTROLE[[#This Row],[Entradas]]-CONTROLE[[#This Row],[Saídas]],"")</f>
        <v>61</v>
      </c>
      <c r="F11" s="70">
        <f ca="1">IFERROR(VLOOKUP(CONTROLE[[#This Row],[Produto]],PRODUTO[#All],4,0),"")</f>
        <v>43</v>
      </c>
      <c r="G11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2" spans="2:7">
      <c r="B12" s="19" t="s">
        <v>90</v>
      </c>
      <c r="C12" s="68">
        <f>IF(CONTROLE[[#This Row],[Produto]]&lt;&gt;"",SUMIF(ENTRADAS[Produto],CONTROLE[[#This Row],[Produto]],ENTRADAS[Quantidade]),"")</f>
        <v>211</v>
      </c>
      <c r="D12" s="68">
        <f>IF(CONTROLE[[#This Row],[Produto]]&lt;&gt;"",SUMIF(SAÍDAS!E:E,CONTROLE[[#This Row],[Produto]],SAÍDAS!G:G),"")</f>
        <v>127</v>
      </c>
      <c r="E12" s="69">
        <f>IFERROR(CONTROLE[[#This Row],[Entradas]]-CONTROLE[[#This Row],[Saídas]],"")</f>
        <v>84</v>
      </c>
      <c r="F12" s="70">
        <f ca="1">IFERROR(VLOOKUP(CONTROLE[[#This Row],[Produto]],PRODUTO[#All],4,0),"")</f>
        <v>42</v>
      </c>
      <c r="G12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3" spans="2:7">
      <c r="B13" s="19" t="s">
        <v>91</v>
      </c>
      <c r="C13" s="68">
        <f>IF(CONTROLE[[#This Row],[Produto]]&lt;&gt;"",SUMIF(ENTRADAS[Produto],CONTROLE[[#This Row],[Produto]],ENTRADAS[Quantidade]),"")</f>
        <v>163</v>
      </c>
      <c r="D13" s="68">
        <f>IF(CONTROLE[[#This Row],[Produto]]&lt;&gt;"",SUMIF(SAÍDAS!E:E,CONTROLE[[#This Row],[Produto]],SAÍDAS!G:G),"")</f>
        <v>101</v>
      </c>
      <c r="E13" s="69">
        <f>IFERROR(CONTROLE[[#This Row],[Entradas]]-CONTROLE[[#This Row],[Saídas]],"")</f>
        <v>62</v>
      </c>
      <c r="F13" s="70">
        <f ca="1">IFERROR(VLOOKUP(CONTROLE[[#This Row],[Produto]],PRODUTO[#All],4,0),"")</f>
        <v>42</v>
      </c>
      <c r="G13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4" spans="2:7">
      <c r="B14" s="19" t="s">
        <v>92</v>
      </c>
      <c r="C14" s="68">
        <f>IF(CONTROLE[[#This Row],[Produto]]&lt;&gt;"",SUMIF(ENTRADAS[Produto],CONTROLE[[#This Row],[Produto]],ENTRADAS[Quantidade]),"")</f>
        <v>133</v>
      </c>
      <c r="D14" s="68">
        <f>IF(CONTROLE[[#This Row],[Produto]]&lt;&gt;"",SUMIF(SAÍDAS!E:E,CONTROLE[[#This Row],[Produto]],SAÍDAS!G:G),"")</f>
        <v>110</v>
      </c>
      <c r="E14" s="69">
        <f>IFERROR(CONTROLE[[#This Row],[Entradas]]-CONTROLE[[#This Row],[Saídas]],"")</f>
        <v>23</v>
      </c>
      <c r="F14" s="70">
        <f ca="1">IFERROR(VLOOKUP(CONTROLE[[#This Row],[Produto]],PRODUTO[#All],4,0),"")</f>
        <v>42</v>
      </c>
      <c r="G14" s="67" t="str">
        <f ca="1">IF(CONTROLE[[#This Row],[Produto]]&lt;&gt;"",IF(CONTROLE[[#This Row],[Saldo Estoque]]=0,Auxiliar!$B$6,IF(CONTROLE[[#This Row],[Saldo Estoque]]&lt;CONTROLE[[#This Row],[Estoque Mínimo]],Auxiliar!$B$7,Auxiliar!$B$8)),"")</f>
        <v>Realizar Pedido</v>
      </c>
    </row>
    <row r="15" spans="2:7">
      <c r="B15" s="19" t="s">
        <v>93</v>
      </c>
      <c r="C15" s="68">
        <f>IF(CONTROLE[[#This Row],[Produto]]&lt;&gt;"",SUMIF(ENTRADAS[Produto],CONTROLE[[#This Row],[Produto]],ENTRADAS[Quantidade]),"")</f>
        <v>157</v>
      </c>
      <c r="D15" s="68">
        <f>IF(CONTROLE[[#This Row],[Produto]]&lt;&gt;"",SUMIF(SAÍDAS!E:E,CONTROLE[[#This Row],[Produto]],SAÍDAS!G:G),"")</f>
        <v>31</v>
      </c>
      <c r="E15" s="69">
        <f>IFERROR(CONTROLE[[#This Row],[Entradas]]-CONTROLE[[#This Row],[Saídas]],"")</f>
        <v>126</v>
      </c>
      <c r="F15" s="70">
        <f ca="1">IFERROR(VLOOKUP(CONTROLE[[#This Row],[Produto]],PRODUTO[#All],4,0),"")</f>
        <v>35</v>
      </c>
      <c r="G15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6" spans="2:7">
      <c r="B16" s="19" t="s">
        <v>82</v>
      </c>
      <c r="C16" s="68">
        <f>IF(CONTROLE[[#This Row],[Produto]]&lt;&gt;"",SUMIF(ENTRADAS[Produto],CONTROLE[[#This Row],[Produto]],ENTRADAS[Quantidade]),"")</f>
        <v>175</v>
      </c>
      <c r="D16" s="68">
        <f>IF(CONTROLE[[#This Row],[Produto]]&lt;&gt;"",SUMIF(SAÍDAS!E:E,CONTROLE[[#This Row],[Produto]],SAÍDAS!G:G),"")</f>
        <v>103</v>
      </c>
      <c r="E16" s="69">
        <f>IFERROR(CONTROLE[[#This Row],[Entradas]]-CONTROLE[[#This Row],[Saídas]],"")</f>
        <v>72</v>
      </c>
      <c r="F16" s="70">
        <f ca="1">IFERROR(VLOOKUP(CONTROLE[[#This Row],[Produto]],PRODUTO[#All],4,0),"")</f>
        <v>40</v>
      </c>
      <c r="G16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7" spans="2:7">
      <c r="B17" s="19" t="s">
        <v>94</v>
      </c>
      <c r="C17" s="68">
        <f>IF(CONTROLE[[#This Row],[Produto]]&lt;&gt;"",SUMIF(ENTRADAS[Produto],CONTROLE[[#This Row],[Produto]],ENTRADAS[Quantidade]),"")</f>
        <v>186</v>
      </c>
      <c r="D17" s="68">
        <f>IF(CONTROLE[[#This Row],[Produto]]&lt;&gt;"",SUMIF(SAÍDAS!E:E,CONTROLE[[#This Row],[Produto]],SAÍDAS!G:G),"")</f>
        <v>91</v>
      </c>
      <c r="E17" s="69">
        <f>IFERROR(CONTROLE[[#This Row],[Entradas]]-CONTROLE[[#This Row],[Saídas]],"")</f>
        <v>95</v>
      </c>
      <c r="F17" s="70">
        <f ca="1">IFERROR(VLOOKUP(CONTROLE[[#This Row],[Produto]],PRODUTO[#All],4,0),"")</f>
        <v>41</v>
      </c>
      <c r="G17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8" spans="2:7">
      <c r="B18" s="19" t="s">
        <v>95</v>
      </c>
      <c r="C18" s="68">
        <f>IF(CONTROLE[[#This Row],[Produto]]&lt;&gt;"",SUMIF(ENTRADAS[Produto],CONTROLE[[#This Row],[Produto]],ENTRADAS[Quantidade]),"")</f>
        <v>291</v>
      </c>
      <c r="D18" s="68">
        <f>IF(CONTROLE[[#This Row],[Produto]]&lt;&gt;"",SUMIF(SAÍDAS!E:E,CONTROLE[[#This Row],[Produto]],SAÍDAS!G:G),"")</f>
        <v>53</v>
      </c>
      <c r="E18" s="69">
        <f>IFERROR(CONTROLE[[#This Row],[Entradas]]-CONTROLE[[#This Row],[Saídas]],"")</f>
        <v>238</v>
      </c>
      <c r="F18" s="70">
        <f ca="1">IFERROR(VLOOKUP(CONTROLE[[#This Row],[Produto]],PRODUTO[#All],4,0),"")</f>
        <v>37</v>
      </c>
      <c r="G18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19" spans="2:7">
      <c r="B19" s="19" t="s">
        <v>96</v>
      </c>
      <c r="C19" s="68">
        <f>IF(CONTROLE[[#This Row],[Produto]]&lt;&gt;"",SUMIF(ENTRADAS[Produto],CONTROLE[[#This Row],[Produto]],ENTRADAS[Quantidade]),"")</f>
        <v>306</v>
      </c>
      <c r="D19" s="68">
        <f>IF(CONTROLE[[#This Row],[Produto]]&lt;&gt;"",SUMIF(SAÍDAS!E:E,CONTROLE[[#This Row],[Produto]],SAÍDAS!G:G),"")</f>
        <v>54</v>
      </c>
      <c r="E19" s="69">
        <f>IFERROR(CONTROLE[[#This Row],[Entradas]]-CONTROLE[[#This Row],[Saídas]],"")</f>
        <v>252</v>
      </c>
      <c r="F19" s="70">
        <f ca="1">IFERROR(VLOOKUP(CONTROLE[[#This Row],[Produto]],PRODUTO[#All],4,0),"")</f>
        <v>42</v>
      </c>
      <c r="G19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  <row r="20" spans="2:7">
      <c r="B20" s="19" t="s">
        <v>97</v>
      </c>
      <c r="C20" s="68">
        <f>IF(CONTROLE[[#This Row],[Produto]]&lt;&gt;"",SUMIF(ENTRADAS[Produto],CONTROLE[[#This Row],[Produto]],ENTRADAS[Quantidade]),"")</f>
        <v>126</v>
      </c>
      <c r="D20" s="68">
        <f>IF(CONTROLE[[#This Row],[Produto]]&lt;&gt;"",SUMIF(SAÍDAS!E:E,CONTROLE[[#This Row],[Produto]],SAÍDAS!G:G),"")</f>
        <v>72</v>
      </c>
      <c r="E20" s="69">
        <f>IFERROR(CONTROLE[[#This Row],[Entradas]]-CONTROLE[[#This Row],[Saídas]],"")</f>
        <v>54</v>
      </c>
      <c r="F20" s="70">
        <f ca="1">IFERROR(VLOOKUP(CONTROLE[[#This Row],[Produto]],PRODUTO[#All],4,0),"")</f>
        <v>45</v>
      </c>
      <c r="G20" s="67" t="str">
        <f ca="1">IF(CONTROLE[[#This Row],[Produto]]&lt;&gt;"",IF(CONTROLE[[#This Row],[Saldo Estoque]]=0,Auxiliar!$B$6,IF(CONTROLE[[#This Row],[Saldo Estoque]]&lt;CONTROLE[[#This Row],[Estoque Mínimo]],Auxiliar!$B$7,Auxiliar!$B$8)),"")</f>
        <v>Estoque Okay</v>
      </c>
    </row>
  </sheetData>
  <phoneticPr fontId="26" type="noConversion"/>
  <dataValidations count="1">
    <dataValidation type="list" allowBlank="1" showInputMessage="1" showErrorMessage="1" sqref="B5:B20" xr:uid="{00000000-0002-0000-0500-000000000000}">
      <formula1>LISTA_PRODUTOS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1" operator="equal" id="{CB03581E-CBB9-4B4C-9E94-AD7EAF2BFB47}">
            <xm:f>Auxiliar!$B$8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2" operator="equal" id="{AA5640F4-F023-4AE1-B2B0-9109A26BDAFB}">
            <xm:f>Auxiliar!$B$7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14:cfRule type="cellIs" priority="33" operator="equal" id="{986BC015-9F3D-4834-82C8-804BF7660BC9}">
            <xm:f>Auxiliar!$B$6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B5:G20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H13"/>
  <sheetViews>
    <sheetView showGridLines="0" showRowColHeaders="0" zoomScale="85" zoomScaleNormal="85" workbookViewId="0"/>
  </sheetViews>
  <sheetFormatPr defaultRowHeight="14.5"/>
  <cols>
    <col min="1" max="1" width="2.90625" customWidth="1"/>
    <col min="2" max="2" width="32.54296875" customWidth="1"/>
    <col min="3" max="3" width="4.90625" customWidth="1"/>
    <col min="4" max="4" width="32.54296875" customWidth="1"/>
    <col min="5" max="5" width="4.90625" customWidth="1"/>
    <col min="6" max="6" width="32.54296875" customWidth="1"/>
    <col min="7" max="7" width="4.90625" customWidth="1"/>
    <col min="8" max="8" width="32.54296875" customWidth="1"/>
    <col min="9" max="9" width="29.90625" customWidth="1"/>
    <col min="10" max="10" width="8.08984375" customWidth="1"/>
    <col min="11" max="11" width="14.453125" customWidth="1"/>
  </cols>
  <sheetData>
    <row r="1" spans="1:8" s="23" customFormat="1" ht="39.75" customHeight="1">
      <c r="A1" s="23" t="s">
        <v>27</v>
      </c>
      <c r="B1" s="28" t="s">
        <v>28</v>
      </c>
      <c r="C1" s="24"/>
    </row>
    <row r="2" spans="1:8" s="1" customFormat="1" ht="3.75" customHeight="1"/>
    <row r="8" spans="1:8">
      <c r="B8" s="14"/>
      <c r="D8" s="14"/>
      <c r="F8" s="14"/>
      <c r="H8" s="14"/>
    </row>
    <row r="9" spans="1:8" ht="56.25" customHeight="1">
      <c r="B9" s="15"/>
      <c r="D9" s="15"/>
      <c r="F9" s="15"/>
      <c r="H9" s="15"/>
    </row>
    <row r="12" spans="1:8">
      <c r="B12" s="14"/>
      <c r="D12" s="14"/>
      <c r="F12" s="14"/>
      <c r="H12" s="14"/>
    </row>
    <row r="13" spans="1:8" ht="56.25" customHeight="1">
      <c r="B13" s="16"/>
      <c r="D13" s="42"/>
      <c r="F13" s="17"/>
      <c r="H13" s="1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B1:H8"/>
  <sheetViews>
    <sheetView showGridLines="0" showRowColHeaders="0" zoomScale="85" zoomScaleNormal="85" workbookViewId="0"/>
  </sheetViews>
  <sheetFormatPr defaultRowHeight="14.5"/>
  <cols>
    <col min="1" max="1" width="2.90625" customWidth="1"/>
    <col min="2" max="2" width="17.6328125" customWidth="1"/>
    <col min="3" max="3" width="25.453125" customWidth="1"/>
    <col min="4" max="6" width="18.36328125" customWidth="1"/>
    <col min="7" max="7" width="21.453125" customWidth="1"/>
    <col min="8" max="8" width="22" customWidth="1"/>
    <col min="9" max="10" width="14.453125" customWidth="1"/>
    <col min="11" max="11" width="4.90625" customWidth="1"/>
  </cols>
  <sheetData>
    <row r="1" spans="2:8" s="23" customFormat="1" ht="39.75" customHeight="1">
      <c r="B1" s="28" t="s">
        <v>28</v>
      </c>
    </row>
    <row r="2" spans="2:8" s="1" customFormat="1" ht="3.75" customHeight="1"/>
    <row r="7" spans="2:8" ht="18.5">
      <c r="E7" s="74" t="s">
        <v>29</v>
      </c>
      <c r="F7" s="75"/>
      <c r="G7" s="75"/>
      <c r="H7" s="75"/>
    </row>
    <row r="8" spans="2:8" ht="8.25" customHeight="1"/>
  </sheetData>
  <mergeCells count="1">
    <mergeCell ref="E7:H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B1:I8"/>
  <sheetViews>
    <sheetView showGridLines="0" showRowColHeaders="0" zoomScale="85" zoomScaleNormal="85" workbookViewId="0"/>
  </sheetViews>
  <sheetFormatPr defaultRowHeight="14.5"/>
  <cols>
    <col min="1" max="1" width="2.90625" customWidth="1"/>
    <col min="2" max="2" width="17.6328125" customWidth="1"/>
    <col min="3" max="3" width="25.453125" customWidth="1"/>
    <col min="4" max="4" width="18.36328125" customWidth="1"/>
    <col min="5" max="6" width="14.08984375" customWidth="1"/>
    <col min="7" max="7" width="21.453125" customWidth="1"/>
    <col min="8" max="8" width="22" customWidth="1"/>
    <col min="9" max="11" width="14.453125" customWidth="1"/>
  </cols>
  <sheetData>
    <row r="1" spans="2:9" s="23" customFormat="1" ht="39.75" customHeight="1">
      <c r="B1" s="28" t="s">
        <v>28</v>
      </c>
    </row>
    <row r="2" spans="2:9" s="1" customFormat="1" ht="3.75" customHeight="1"/>
    <row r="6" spans="2:9">
      <c r="B6" s="13" t="s">
        <v>13</v>
      </c>
      <c r="C6" s="12" t="s">
        <v>83</v>
      </c>
    </row>
    <row r="7" spans="2:9" ht="8.25" customHeight="1"/>
    <row r="8" spans="2:9" ht="18.5">
      <c r="B8" s="13" t="s">
        <v>12</v>
      </c>
      <c r="C8" s="12">
        <v>2021</v>
      </c>
      <c r="E8" s="74" t="str">
        <f>Auxiliar!K4</f>
        <v>Análise para Prod_Guilherme1</v>
      </c>
      <c r="F8" s="75"/>
      <c r="G8" s="75"/>
      <c r="H8" s="75"/>
      <c r="I8" s="75"/>
    </row>
  </sheetData>
  <mergeCells count="1">
    <mergeCell ref="E8:I8"/>
  </mergeCells>
  <dataValidations count="1">
    <dataValidation type="list" allowBlank="1" showInputMessage="1" showErrorMessage="1" sqref="C6" xr:uid="{00000000-0002-0000-0800-000000000000}">
      <formula1>LISTA_PRODUTOS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B1:K56"/>
  <sheetViews>
    <sheetView showGridLines="0" showRowColHeaders="0" topLeftCell="A8" zoomScaleNormal="100" workbookViewId="0">
      <selection activeCell="F16" sqref="F16"/>
    </sheetView>
  </sheetViews>
  <sheetFormatPr defaultColWidth="9.08984375" defaultRowHeight="14.5"/>
  <cols>
    <col min="1" max="1" width="1.08984375" style="21" customWidth="1"/>
    <col min="2" max="2" width="20" style="21" customWidth="1"/>
    <col min="3" max="3" width="20.36328125" style="21" bestFit="1" customWidth="1"/>
    <col min="4" max="4" width="16.54296875" customWidth="1"/>
    <col min="5" max="5" width="16.6328125" bestFit="1" customWidth="1"/>
    <col min="6" max="6" width="9.08984375" style="21"/>
    <col min="7" max="7" width="21" style="21" bestFit="1" customWidth="1"/>
    <col min="8" max="8" width="13.54296875" style="21" bestFit="1" customWidth="1"/>
    <col min="9" max="9" width="11" style="21" customWidth="1"/>
    <col min="10" max="10" width="9.08984375" style="21"/>
    <col min="11" max="11" width="13.54296875" style="21" bestFit="1" customWidth="1"/>
    <col min="12" max="12" width="9.08984375" style="21"/>
    <col min="13" max="13" width="14.6328125" style="21" customWidth="1"/>
    <col min="14" max="14" width="8.36328125" style="21" customWidth="1"/>
    <col min="15" max="16384" width="9.08984375" style="21"/>
  </cols>
  <sheetData>
    <row r="1" spans="2:11" s="31" customFormat="1" ht="39.75" customHeight="1">
      <c r="B1" s="9" t="s">
        <v>30</v>
      </c>
      <c r="C1" s="30"/>
    </row>
    <row r="2" spans="2:11" s="32" customFormat="1" ht="3.75" customHeight="1"/>
    <row r="3" spans="2:11" s="49" customFormat="1" ht="12.75" customHeight="1"/>
    <row r="4" spans="2:11" hidden="1">
      <c r="D4" s="21"/>
      <c r="E4" s="21"/>
      <c r="K4" s="21" t="str">
        <f>"Análise para "&amp;K5</f>
        <v>Análise para Prod_Guilherme1</v>
      </c>
    </row>
    <row r="5" spans="2:11">
      <c r="B5" s="50" t="s">
        <v>31</v>
      </c>
      <c r="C5" s="22" t="s">
        <v>32</v>
      </c>
      <c r="G5" s="22" t="s">
        <v>33</v>
      </c>
      <c r="H5" s="22" t="s">
        <v>15</v>
      </c>
      <c r="J5" s="22" t="s">
        <v>13</v>
      </c>
      <c r="K5" s="12" t="str">
        <f>'DASH RESULTADOS'!C6</f>
        <v>Prod_Guilherme1</v>
      </c>
    </row>
    <row r="6" spans="2:11">
      <c r="B6" s="66" t="s">
        <v>34</v>
      </c>
      <c r="C6" s="51" t="s">
        <v>35</v>
      </c>
      <c r="G6" s="12" t="s">
        <v>36</v>
      </c>
      <c r="H6" s="12">
        <f>COUNTA(PRODUTO[Item])</f>
        <v>16</v>
      </c>
      <c r="J6" s="22" t="s">
        <v>12</v>
      </c>
      <c r="K6" s="12">
        <f>'DASH RESULTADOS'!C8</f>
        <v>2021</v>
      </c>
    </row>
    <row r="7" spans="2:11">
      <c r="B7" s="29" t="s">
        <v>37</v>
      </c>
      <c r="C7" s="51" t="s">
        <v>38</v>
      </c>
      <c r="G7" s="12" t="s">
        <v>39</v>
      </c>
      <c r="H7" s="12">
        <f>COUNTA(FORNECEDORES[Empresa])</f>
        <v>6</v>
      </c>
    </row>
    <row r="8" spans="2:11">
      <c r="B8" s="29" t="s">
        <v>40</v>
      </c>
      <c r="C8" s="51" t="s">
        <v>41</v>
      </c>
      <c r="G8" s="12" t="s">
        <v>42</v>
      </c>
      <c r="H8" s="12">
        <f>SUM(CONTROLE[Saldo Estoque])</f>
        <v>1792</v>
      </c>
    </row>
    <row r="9" spans="2:11">
      <c r="C9" s="51" t="s">
        <v>43</v>
      </c>
      <c r="G9" s="12" t="s">
        <v>44</v>
      </c>
      <c r="H9" s="12">
        <f>SUMIF(CONTROLE[Entradas],"&gt;0")</f>
        <v>3145</v>
      </c>
      <c r="K9" s="33"/>
    </row>
    <row r="10" spans="2:11">
      <c r="C10" s="51" t="s">
        <v>45</v>
      </c>
      <c r="G10" s="12" t="s">
        <v>24</v>
      </c>
      <c r="H10" s="12">
        <f>SUMIF(CONTROLE[Saídas],"&gt;0")</f>
        <v>1353</v>
      </c>
    </row>
    <row r="11" spans="2:11">
      <c r="C11" s="51" t="s">
        <v>46</v>
      </c>
      <c r="G11" s="12" t="s">
        <v>47</v>
      </c>
      <c r="H11" s="12">
        <f ca="1">COUNTIF('CONT. ESTOQUE'!G:G,Auxiliar!B7)</f>
        <v>1</v>
      </c>
    </row>
    <row r="12" spans="2:11">
      <c r="C12" s="51" t="s">
        <v>48</v>
      </c>
      <c r="G12" s="12"/>
      <c r="H12" s="12"/>
    </row>
    <row r="13" spans="2:11">
      <c r="C13" s="51" t="s">
        <v>49</v>
      </c>
      <c r="G13" s="12"/>
      <c r="H13" s="12"/>
    </row>
    <row r="14" spans="2:11">
      <c r="C14" s="51" t="s">
        <v>50</v>
      </c>
    </row>
    <row r="15" spans="2:11">
      <c r="C15" s="51" t="s">
        <v>51</v>
      </c>
      <c r="F15" s="22" t="s">
        <v>11</v>
      </c>
      <c r="G15" s="22" t="s">
        <v>52</v>
      </c>
      <c r="H15" s="22" t="s">
        <v>23</v>
      </c>
      <c r="I15" s="22" t="s">
        <v>24</v>
      </c>
    </row>
    <row r="16" spans="2:11">
      <c r="C16" s="51" t="s">
        <v>53</v>
      </c>
      <c r="F16" s="12">
        <v>1</v>
      </c>
      <c r="G16" s="12" t="s">
        <v>54</v>
      </c>
      <c r="H16" s="12">
        <f>COUNTIFS(ENTRADAS!$D:$D,Auxiliar!$K$6,ENTRADAS!$C:$C,Auxiliar!F16,ENTRADAS!$E:$E,Auxiliar!$K$5)</f>
        <v>1</v>
      </c>
      <c r="I16" s="12">
        <f>COUNTIFS(SAÍDAS!$D:$D,Auxiliar!$K$6,SAÍDAS!$C:$C,Auxiliar!F16,SAÍDAS!$E:$E,Auxiliar!$K$5)</f>
        <v>2</v>
      </c>
    </row>
    <row r="17" spans="3:9">
      <c r="C17" s="51" t="s">
        <v>55</v>
      </c>
      <c r="F17" s="12">
        <v>2</v>
      </c>
      <c r="G17" s="12" t="s">
        <v>56</v>
      </c>
      <c r="H17" s="12">
        <f>COUNTIFS(ENTRADAS!$D:$D,Auxiliar!$K$6,ENTRADAS!$C:$C,Auxiliar!F17,ENTRADAS!$E:$E,Auxiliar!$K$5)</f>
        <v>2</v>
      </c>
      <c r="I17" s="12">
        <f>COUNTIFS(SAÍDAS!$D:$D,Auxiliar!$K$6,SAÍDAS!$C:$C,Auxiliar!F17,SAÍDAS!$E:$E,Auxiliar!$K$5)</f>
        <v>0</v>
      </c>
    </row>
    <row r="18" spans="3:9">
      <c r="C18" s="51" t="s">
        <v>57</v>
      </c>
      <c r="F18" s="12">
        <v>3</v>
      </c>
      <c r="G18" s="12" t="s">
        <v>58</v>
      </c>
      <c r="H18" s="12">
        <f>COUNTIFS(ENTRADAS!$D:$D,Auxiliar!$K$6,ENTRADAS!$C:$C,Auxiliar!F18,ENTRADAS!$E:$E,Auxiliar!$K$5)</f>
        <v>2</v>
      </c>
      <c r="I18" s="12">
        <f>COUNTIFS(SAÍDAS!$D:$D,Auxiliar!$K$6,SAÍDAS!$C:$C,Auxiliar!F18,SAÍDAS!$E:$E,Auxiliar!$K$5)</f>
        <v>2</v>
      </c>
    </row>
    <row r="19" spans="3:9">
      <c r="C19" s="51" t="s">
        <v>59</v>
      </c>
      <c r="F19" s="12">
        <v>4</v>
      </c>
      <c r="G19" s="12" t="s">
        <v>60</v>
      </c>
      <c r="H19" s="12">
        <f>COUNTIFS(ENTRADAS!$D:$D,Auxiliar!$K$6,ENTRADAS!$C:$C,Auxiliar!F19,ENTRADAS!$E:$E,Auxiliar!$K$5)</f>
        <v>4</v>
      </c>
      <c r="I19" s="12">
        <f>COUNTIFS(SAÍDAS!$D:$D,Auxiliar!$K$6,SAÍDAS!$C:$C,Auxiliar!F19,SAÍDAS!$E:$E,Auxiliar!$K$5)</f>
        <v>3</v>
      </c>
    </row>
    <row r="20" spans="3:9">
      <c r="C20" s="51" t="s">
        <v>61</v>
      </c>
      <c r="F20" s="12">
        <v>5</v>
      </c>
      <c r="G20" s="12" t="s">
        <v>62</v>
      </c>
      <c r="H20" s="12">
        <f>COUNTIFS(ENTRADAS!$D:$D,Auxiliar!$K$6,ENTRADAS!$C:$C,Auxiliar!F20,ENTRADAS!$E:$E,Auxiliar!$K$5)</f>
        <v>4</v>
      </c>
      <c r="I20" s="12">
        <f>COUNTIFS(SAÍDAS!$D:$D,Auxiliar!$K$6,SAÍDAS!$C:$C,Auxiliar!F20,SAÍDAS!$E:$E,Auxiliar!$K$5)</f>
        <v>0</v>
      </c>
    </row>
    <row r="21" spans="3:9">
      <c r="C21" s="51" t="s">
        <v>63</v>
      </c>
      <c r="F21" s="12">
        <v>6</v>
      </c>
      <c r="G21" s="12" t="s">
        <v>64</v>
      </c>
      <c r="H21" s="12">
        <f>COUNTIFS(ENTRADAS!$D:$D,Auxiliar!$K$6,ENTRADAS!$C:$C,Auxiliar!F21,ENTRADAS!$E:$E,Auxiliar!$K$5)</f>
        <v>0</v>
      </c>
      <c r="I21" s="12">
        <f>COUNTIFS(SAÍDAS!$D:$D,Auxiliar!$K$6,SAÍDAS!$C:$C,Auxiliar!F21,SAÍDAS!$E:$E,Auxiliar!$K$5)</f>
        <v>0</v>
      </c>
    </row>
    <row r="22" spans="3:9">
      <c r="C22" s="51" t="s">
        <v>65</v>
      </c>
      <c r="F22" s="12">
        <v>7</v>
      </c>
      <c r="G22" s="12" t="s">
        <v>66</v>
      </c>
      <c r="H22" s="12">
        <f>COUNTIFS(ENTRADAS!$D:$D,Auxiliar!$K$6,ENTRADAS!$C:$C,Auxiliar!F22,ENTRADAS!$E:$E,Auxiliar!$K$5)</f>
        <v>0</v>
      </c>
      <c r="I22" s="12">
        <f>COUNTIFS(SAÍDAS!$D:$D,Auxiliar!$K$6,SAÍDAS!$C:$C,Auxiliar!F22,SAÍDAS!$E:$E,Auxiliar!$K$5)</f>
        <v>0</v>
      </c>
    </row>
    <row r="23" spans="3:9">
      <c r="C23" s="51" t="s">
        <v>67</v>
      </c>
      <c r="F23" s="12">
        <v>8</v>
      </c>
      <c r="G23" s="12" t="s">
        <v>68</v>
      </c>
      <c r="H23" s="12">
        <f>COUNTIFS(ENTRADAS!$D:$D,Auxiliar!$K$6,ENTRADAS!$C:$C,Auxiliar!F23,ENTRADAS!$E:$E,Auxiliar!$K$5)</f>
        <v>0</v>
      </c>
      <c r="I23" s="12">
        <f>COUNTIFS(SAÍDAS!$D:$D,Auxiliar!$K$6,SAÍDAS!$C:$C,Auxiliar!F23,SAÍDAS!$E:$E,Auxiliar!$K$5)</f>
        <v>0</v>
      </c>
    </row>
    <row r="24" spans="3:9">
      <c r="C24" s="51" t="s">
        <v>69</v>
      </c>
      <c r="F24" s="12">
        <v>9</v>
      </c>
      <c r="G24" s="12" t="s">
        <v>70</v>
      </c>
      <c r="H24" s="12">
        <f>COUNTIFS(ENTRADAS!$D:$D,Auxiliar!$K$6,ENTRADAS!$C:$C,Auxiliar!F24,ENTRADAS!$E:$E,Auxiliar!$K$5)</f>
        <v>0</v>
      </c>
      <c r="I24" s="12">
        <f>COUNTIFS(SAÍDAS!$D:$D,Auxiliar!$K$6,SAÍDAS!$C:$C,Auxiliar!F24,SAÍDAS!$E:$E,Auxiliar!$K$5)</f>
        <v>0</v>
      </c>
    </row>
    <row r="25" spans="3:9">
      <c r="C25" s="51" t="s">
        <v>71</v>
      </c>
      <c r="F25" s="12">
        <v>10</v>
      </c>
      <c r="G25" s="12" t="s">
        <v>72</v>
      </c>
      <c r="H25" s="12">
        <f>COUNTIFS(ENTRADAS!$D:$D,Auxiliar!$K$6,ENTRADAS!$C:$C,Auxiliar!F25,ENTRADAS!$E:$E,Auxiliar!$K$5)</f>
        <v>0</v>
      </c>
      <c r="I25" s="12">
        <f>COUNTIFS(SAÍDAS!$D:$D,Auxiliar!$K$6,SAÍDAS!$C:$C,Auxiliar!F25,SAÍDAS!$E:$E,Auxiliar!$K$5)</f>
        <v>0</v>
      </c>
    </row>
    <row r="26" spans="3:9">
      <c r="C26" s="51" t="s">
        <v>73</v>
      </c>
      <c r="F26" s="12">
        <v>11</v>
      </c>
      <c r="G26" s="12" t="s">
        <v>74</v>
      </c>
      <c r="H26" s="12">
        <f>COUNTIFS(ENTRADAS!$D:$D,Auxiliar!$K$6,ENTRADAS!$C:$C,Auxiliar!F26,ENTRADAS!$E:$E,Auxiliar!$K$5)</f>
        <v>0</v>
      </c>
      <c r="I26" s="12">
        <f>COUNTIFS(SAÍDAS!$D:$D,Auxiliar!$K$6,SAÍDAS!$C:$C,Auxiliar!F26,SAÍDAS!$E:$E,Auxiliar!$K$5)</f>
        <v>0</v>
      </c>
    </row>
    <row r="27" spans="3:9">
      <c r="C27" s="51" t="s">
        <v>75</v>
      </c>
      <c r="F27" s="12">
        <v>12</v>
      </c>
      <c r="G27" s="12" t="s">
        <v>76</v>
      </c>
      <c r="H27" s="12">
        <f>COUNTIFS(ENTRADAS!$D:$D,Auxiliar!$K$6,ENTRADAS!$C:$C,Auxiliar!F27,ENTRADAS!$E:$E,Auxiliar!$K$5)</f>
        <v>0</v>
      </c>
      <c r="I27" s="12">
        <f>COUNTIFS(SAÍDAS!$D:$D,Auxiliar!$K$6,SAÍDAS!$C:$C,Auxiliar!F27,SAÍDAS!$E:$E,Auxiliar!$K$5)</f>
        <v>0</v>
      </c>
    </row>
    <row r="28" spans="3:9">
      <c r="C28" s="51" t="s">
        <v>77</v>
      </c>
    </row>
    <row r="29" spans="3:9">
      <c r="C29" s="51" t="s">
        <v>78</v>
      </c>
    </row>
    <row r="30" spans="3:9">
      <c r="C30" s="51" t="s">
        <v>79</v>
      </c>
    </row>
    <row r="31" spans="3:9">
      <c r="C31" s="51" t="s">
        <v>80</v>
      </c>
    </row>
    <row r="32" spans="3:9">
      <c r="C32" s="51" t="s">
        <v>81</v>
      </c>
    </row>
    <row r="45" spans="6:6">
      <c r="F45" s="34"/>
    </row>
    <row r="46" spans="6:6">
      <c r="F46" s="34"/>
    </row>
    <row r="47" spans="6:6">
      <c r="F47" s="34"/>
    </row>
    <row r="48" spans="6:6">
      <c r="F48" s="34"/>
    </row>
    <row r="49" spans="6:6">
      <c r="F49" s="34"/>
    </row>
    <row r="50" spans="6:6">
      <c r="F50" s="34"/>
    </row>
    <row r="51" spans="6:6">
      <c r="F51" s="34"/>
    </row>
    <row r="52" spans="6:6">
      <c r="F52" s="34"/>
    </row>
    <row r="53" spans="6:6">
      <c r="F53" s="34"/>
    </row>
    <row r="54" spans="6:6">
      <c r="F54" s="34"/>
    </row>
    <row r="55" spans="6:6">
      <c r="F55" s="34"/>
    </row>
    <row r="56" spans="6:6">
      <c r="F56" s="34"/>
    </row>
  </sheetData>
  <hyperlinks>
    <hyperlink ref="C6" r:id="rId1" display="https://www.todamateria.com.br/estado-do-acre/" xr:uid="{00000000-0004-0000-0900-000000000000}"/>
    <hyperlink ref="C7" r:id="rId2" display="https://www.todamateria.com.br/estado-de-alagoas/" xr:uid="{00000000-0004-0000-0900-000001000000}"/>
    <hyperlink ref="C8" r:id="rId3" display="https://www.todamateria.com.br/amapa/" xr:uid="{00000000-0004-0000-0900-000002000000}"/>
    <hyperlink ref="C9" r:id="rId4" display="https://www.todamateria.com.br/estado-do-amazonas/" xr:uid="{00000000-0004-0000-0900-000003000000}"/>
    <hyperlink ref="C10" r:id="rId5" display="https://www.todamateria.com.br/estado-da-bahia/" xr:uid="{00000000-0004-0000-0900-000004000000}"/>
    <hyperlink ref="C11" r:id="rId6" display="https://www.todamateria.com.br/estado-do-ceara/" xr:uid="{00000000-0004-0000-0900-000005000000}"/>
    <hyperlink ref="C12" r:id="rId7" display="https://www.todamateria.com.br/distrito-federal/" xr:uid="{00000000-0004-0000-0900-000006000000}"/>
    <hyperlink ref="C13" r:id="rId8" display="https://www.todamateria.com.br/estado-do-espirito-santo/" xr:uid="{00000000-0004-0000-0900-000007000000}"/>
    <hyperlink ref="C14" r:id="rId9" display="https://www.todamateria.com.br/estado-de-goias/" xr:uid="{00000000-0004-0000-0900-000008000000}"/>
    <hyperlink ref="C15" r:id="rId10" display="https://www.todamateria.com.br/estado-do-maranhao/" xr:uid="{00000000-0004-0000-0900-000009000000}"/>
    <hyperlink ref="C16" r:id="rId11" display="https://www.todamateria.com.br/estado-de-mato-grosso/" xr:uid="{00000000-0004-0000-0900-00000A000000}"/>
    <hyperlink ref="C17" r:id="rId12" display="https://www.todamateria.com.br/estado-do-mato-grosso-do-sul/" xr:uid="{00000000-0004-0000-0900-00000B000000}"/>
    <hyperlink ref="C18" r:id="rId13" display="https://www.todamateria.com.br/estado-de-minas-gerais/" xr:uid="{00000000-0004-0000-0900-00000C000000}"/>
    <hyperlink ref="C19" r:id="rId14" display="https://www.todamateria.com.br/estado-do-para/" xr:uid="{00000000-0004-0000-0900-00000D000000}"/>
    <hyperlink ref="C20" r:id="rId15" display="https://www.todamateria.com.br/estado-da-paraiba/" xr:uid="{00000000-0004-0000-0900-00000E000000}"/>
    <hyperlink ref="C21" r:id="rId16" display="https://www.todamateria.com.br/estado-do-parana/" xr:uid="{00000000-0004-0000-0900-00000F000000}"/>
    <hyperlink ref="C22" r:id="rId17" display="https://www.todamateria.com.br/estado-de-pernambuco/" xr:uid="{00000000-0004-0000-0900-000010000000}"/>
    <hyperlink ref="C23" r:id="rId18" display="https://www.todamateria.com.br/estado-do-piaui/" xr:uid="{00000000-0004-0000-0900-000011000000}"/>
    <hyperlink ref="C24" r:id="rId19" display="https://www.todamateria.com.br/estado-do-rio-de-janeiro/" xr:uid="{00000000-0004-0000-0900-000012000000}"/>
    <hyperlink ref="C25" r:id="rId20" display="https://www.todamateria.com.br/rio-grande-do-norte/" xr:uid="{00000000-0004-0000-0900-000013000000}"/>
    <hyperlink ref="C26" r:id="rId21" display="https://www.todamateria.com.br/rio-grande-do-sul/" xr:uid="{00000000-0004-0000-0900-000014000000}"/>
    <hyperlink ref="C27" r:id="rId22" display="https://www.todamateria.com.br/estado-de-rondonia/" xr:uid="{00000000-0004-0000-0900-000015000000}"/>
    <hyperlink ref="C28" r:id="rId23" display="https://www.todamateria.com.br/estado-de-roraima/" xr:uid="{00000000-0004-0000-0900-000016000000}"/>
    <hyperlink ref="C29" r:id="rId24" display="https://www.todamateria.com.br/estado-de-santa-catarina/" xr:uid="{00000000-0004-0000-0900-000017000000}"/>
    <hyperlink ref="C30" r:id="rId25" display="https://www.todamateria.com.br/estado-de-sao-paulo/" xr:uid="{00000000-0004-0000-0900-000018000000}"/>
    <hyperlink ref="C31" r:id="rId26" display="https://www.todamateria.com.br/estado-de-sergipe/" xr:uid="{00000000-0004-0000-0900-000019000000}"/>
    <hyperlink ref="C32" r:id="rId27" display="https://www.todamateria.com.br/estado-do-tocantins/" xr:uid="{00000000-0004-0000-0900-00001A000000}"/>
  </hyperlinks>
  <pageMargins left="0.511811024" right="0.511811024" top="0.78740157499999996" bottom="0.78740157499999996" header="0.31496062000000002" footer="0.31496062000000002"/>
  <pageSetup paperSize="9" orientation="portrait" r:id="rId28"/>
  <drawing r:id="rId29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2781DF23E9D4747AC18E1733C399BD0" ma:contentTypeVersion="9" ma:contentTypeDescription="Crie um novo documento." ma:contentTypeScope="" ma:versionID="1c7863361b5e15c11a66db97190226a4">
  <xsd:schema xmlns:xsd="http://www.w3.org/2001/XMLSchema" xmlns:xs="http://www.w3.org/2001/XMLSchema" xmlns:p="http://schemas.microsoft.com/office/2006/metadata/properties" xmlns:ns2="e15cca47-25ec-478e-afb5-db08dd3e1206" xmlns:ns3="78229baa-0e2d-4154-90c8-09f1bccaf1c1" targetNamespace="http://schemas.microsoft.com/office/2006/metadata/properties" ma:root="true" ma:fieldsID="cb165e4b87706c8aa630aee7cd92ca59" ns2:_="" ns3:_="">
    <xsd:import namespace="e15cca47-25ec-478e-afb5-db08dd3e1206"/>
    <xsd:import namespace="78229baa-0e2d-4154-90c8-09f1bccaf1c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5cca47-25ec-478e-afb5-db08dd3e12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29baa-0e2d-4154-90c8-09f1bccaf1c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931E78-6D07-410F-ABAD-C68C338AF3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5cca47-25ec-478e-afb5-db08dd3e1206"/>
    <ds:schemaRef ds:uri="78229baa-0e2d-4154-90c8-09f1bccaf1c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112439-54CD-42F4-A8F0-0B33A851E0E2}">
  <ds:schemaRefs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e15cca47-25ec-478e-afb5-db08dd3e1206"/>
    <ds:schemaRef ds:uri="78229baa-0e2d-4154-90c8-09f1bccaf1c1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477504E-4D8B-4D62-A875-CC59FE6A5F6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</vt:i4>
      </vt:variant>
    </vt:vector>
  </HeadingPairs>
  <TitlesOfParts>
    <vt:vector size="11" baseType="lpstr">
      <vt:lpstr>CAPA</vt:lpstr>
      <vt:lpstr>PROD</vt:lpstr>
      <vt:lpstr>FORN</vt:lpstr>
      <vt:lpstr>ENTRADAS</vt:lpstr>
      <vt:lpstr>SAÍDAS</vt:lpstr>
      <vt:lpstr>CONT. ESTOQUE</vt:lpstr>
      <vt:lpstr>DASH VG</vt:lpstr>
      <vt:lpstr>DASH ESTOQUE</vt:lpstr>
      <vt:lpstr>DASH RESULTADOS</vt:lpstr>
      <vt:lpstr>Auxiliar</vt:lpstr>
      <vt:lpstr>produtos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Marcus</dc:creator>
  <cp:keywords/>
  <dc:description/>
  <cp:lastModifiedBy>Moreira Guilherme BRBH</cp:lastModifiedBy>
  <cp:revision/>
  <dcterms:created xsi:type="dcterms:W3CDTF">2020-06-21T20:37:00Z</dcterms:created>
  <dcterms:modified xsi:type="dcterms:W3CDTF">2022-01-11T01:12:51Z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0x010100F2781DF23E9D4747AC18E1733C399BD0</vt:lpwstr>
  </property>
</Properties>
</file>