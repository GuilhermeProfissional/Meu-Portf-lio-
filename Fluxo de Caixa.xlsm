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yngenta-my.sharepoint.com/personal/guilherme_moreira_syngenta_com/Documents/Desktop/"/>
    </mc:Choice>
  </mc:AlternateContent>
  <xr:revisionPtr revIDLastSave="0" documentId="8_{CA4EEF58-0376-4D43-AEB0-BF48049336DA}" xr6:coauthVersionLast="46" xr6:coauthVersionMax="46" xr10:uidLastSave="{00000000-0000-0000-0000-000000000000}"/>
  <bookViews>
    <workbookView xWindow="28680" yWindow="-120" windowWidth="29040" windowHeight="15840" xr2:uid="{999C16AE-3886-45E6-90B1-726CBF890654}"/>
  </bookViews>
  <sheets>
    <sheet name="Dashboard" sheetId="3" r:id="rId1"/>
    <sheet name="Cadastros" sheetId="2" r:id="rId2"/>
    <sheet name="Fluxo de Caixa" sheetId="1" r:id="rId3"/>
    <sheet name="Auxiliar" sheetId="6" state="hidden" r:id="rId4"/>
  </sheets>
  <definedNames>
    <definedName name="CentroDeCustos">Cadastros!$D$2:$D$6</definedName>
    <definedName name="Contas">Cadastros!$F$2:$F$4</definedName>
    <definedName name="Entradas">Cadastros!$A$2:$A$5</definedName>
    <definedName name="Favorecidos">Cadastros!$E$2:$E$4</definedName>
    <definedName name="IntervaloData">OFFSET(Dashboard!$B$19,,,DATEDIF(Dashboard!$B$19,TODAY(),"m")+1)</definedName>
    <definedName name="IntervaloEntradas">OFFSET(Dashboard!$C$19,,,DATEDIF(Dashboard!$B$19,TODAY(),"m")+1)</definedName>
    <definedName name="IntervaloSaidas">OFFSET(Dashboard!$D$19,,,DATEDIF(Dashboard!$B$19,TODAY(),"m")+1)</definedName>
    <definedName name="Saídas">Cadastros!$B$2:$B$11</definedName>
    <definedName name="Transferências">Cadastros!$C$2:$C$3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0" i="3" l="1"/>
  <c r="K10" i="3"/>
  <c r="C10" i="3"/>
  <c r="G10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19" i="3"/>
  <c r="B19" i="3" l="1"/>
  <c r="B20" i="3" l="1"/>
  <c r="B21" i="3" l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D78" i="3" s="1"/>
  <c r="D20" i="3"/>
  <c r="D19" i="3"/>
  <c r="C19" i="3"/>
  <c r="C20" i="3"/>
  <c r="C27" i="3" l="1"/>
  <c r="C28" i="3"/>
  <c r="C25" i="3"/>
  <c r="C40" i="3"/>
  <c r="C39" i="3"/>
  <c r="C34" i="3"/>
  <c r="C62" i="3"/>
  <c r="C73" i="3"/>
  <c r="C72" i="3"/>
  <c r="C59" i="3"/>
  <c r="C58" i="3"/>
  <c r="C63" i="3"/>
  <c r="C56" i="3"/>
  <c r="C52" i="3"/>
  <c r="C57" i="3"/>
  <c r="C41" i="3"/>
  <c r="C46" i="3"/>
  <c r="C42" i="3"/>
  <c r="C26" i="3"/>
  <c r="C61" i="3"/>
  <c r="C36" i="3"/>
  <c r="C23" i="3"/>
  <c r="C55" i="3"/>
  <c r="C38" i="3"/>
  <c r="C67" i="3"/>
  <c r="C60" i="3"/>
  <c r="C71" i="3"/>
  <c r="C35" i="3"/>
  <c r="D67" i="3"/>
  <c r="C78" i="3"/>
  <c r="F78" i="3" s="1"/>
  <c r="C54" i="3"/>
  <c r="C77" i="3"/>
  <c r="C53" i="3"/>
  <c r="D53" i="3"/>
  <c r="C76" i="3"/>
  <c r="C75" i="3"/>
  <c r="C45" i="3"/>
  <c r="C74" i="3"/>
  <c r="C44" i="3"/>
  <c r="C21" i="3"/>
  <c r="D23" i="3"/>
  <c r="E1" i="6"/>
  <c r="D66" i="3"/>
  <c r="C70" i="3"/>
  <c r="C37" i="3"/>
  <c r="C49" i="3"/>
  <c r="C69" i="3"/>
  <c r="C51" i="3"/>
  <c r="C33" i="3"/>
  <c r="C68" i="3"/>
  <c r="C50" i="3"/>
  <c r="C32" i="3"/>
  <c r="C24" i="3"/>
  <c r="D54" i="3"/>
  <c r="D34" i="3"/>
  <c r="C64" i="3"/>
  <c r="C31" i="3"/>
  <c r="C43" i="3"/>
  <c r="C66" i="3"/>
  <c r="F66" i="3" s="1"/>
  <c r="C48" i="3"/>
  <c r="C30" i="3"/>
  <c r="C65" i="3"/>
  <c r="C47" i="3"/>
  <c r="C29" i="3"/>
  <c r="C22" i="3"/>
  <c r="D30" i="3"/>
  <c r="D22" i="3"/>
  <c r="D24" i="3"/>
  <c r="D21" i="3"/>
  <c r="D59" i="3"/>
  <c r="D76" i="3"/>
  <c r="D51" i="3"/>
  <c r="D48" i="3"/>
  <c r="D49" i="3"/>
  <c r="D35" i="3"/>
  <c r="D70" i="3"/>
  <c r="F70" i="3" s="1"/>
  <c r="D43" i="3"/>
  <c r="D25" i="3"/>
  <c r="F25" i="3" s="1"/>
  <c r="D72" i="3"/>
  <c r="F72" i="3" s="1"/>
  <c r="D42" i="3"/>
  <c r="F42" i="3" s="1"/>
  <c r="D71" i="3"/>
  <c r="D29" i="3"/>
  <c r="D52" i="3"/>
  <c r="D57" i="3"/>
  <c r="D68" i="3"/>
  <c r="F68" i="3" s="1"/>
  <c r="D45" i="3"/>
  <c r="F45" i="3" s="1"/>
  <c r="D44" i="3"/>
  <c r="F44" i="3" s="1"/>
  <c r="D37" i="3"/>
  <c r="D60" i="3"/>
  <c r="F60" i="3" s="1"/>
  <c r="D36" i="3"/>
  <c r="F36" i="3" s="1"/>
  <c r="D77" i="3"/>
  <c r="D47" i="3"/>
  <c r="D31" i="3"/>
  <c r="F31" i="3" s="1"/>
  <c r="D46" i="3"/>
  <c r="F46" i="3" s="1"/>
  <c r="D75" i="3"/>
  <c r="D27" i="3"/>
  <c r="F27" i="3" s="1"/>
  <c r="D50" i="3"/>
  <c r="D58" i="3"/>
  <c r="D28" i="3"/>
  <c r="F28" i="3" s="1"/>
  <c r="D69" i="3"/>
  <c r="D33" i="3"/>
  <c r="F33" i="3" s="1"/>
  <c r="D74" i="3"/>
  <c r="F74" i="3" s="1"/>
  <c r="D32" i="3"/>
  <c r="D56" i="3"/>
  <c r="F56" i="3" s="1"/>
  <c r="D26" i="3"/>
  <c r="D65" i="3"/>
  <c r="D41" i="3"/>
  <c r="D61" i="3"/>
  <c r="F61" i="3" s="1"/>
  <c r="D64" i="3"/>
  <c r="D40" i="3"/>
  <c r="F40" i="3" s="1"/>
  <c r="D73" i="3"/>
  <c r="D63" i="3"/>
  <c r="F63" i="3" s="1"/>
  <c r="D39" i="3"/>
  <c r="F39" i="3" s="1"/>
  <c r="D55" i="3"/>
  <c r="D62" i="3"/>
  <c r="F62" i="3" s="1"/>
  <c r="D38" i="3"/>
  <c r="F20" i="3"/>
  <c r="F59" i="3"/>
  <c r="F67" i="3"/>
  <c r="F53" i="3"/>
  <c r="F19" i="3"/>
  <c r="G19" i="3" s="1"/>
  <c r="F55" i="3" l="1"/>
  <c r="F34" i="3"/>
  <c r="F52" i="3"/>
  <c r="F23" i="3"/>
  <c r="F73" i="3"/>
  <c r="F38" i="3"/>
  <c r="F57" i="3"/>
  <c r="F41" i="3"/>
  <c r="F58" i="3"/>
  <c r="F26" i="3"/>
  <c r="G20" i="3"/>
  <c r="F37" i="3"/>
  <c r="F76" i="3"/>
  <c r="F69" i="3"/>
  <c r="F65" i="3"/>
  <c r="F47" i="3"/>
  <c r="F48" i="3"/>
  <c r="F21" i="3"/>
  <c r="F35" i="3"/>
  <c r="F71" i="3"/>
  <c r="F30" i="3"/>
  <c r="F29" i="3"/>
  <c r="F54" i="3"/>
  <c r="F77" i="3"/>
  <c r="F64" i="3"/>
  <c r="F50" i="3"/>
  <c r="F43" i="3"/>
  <c r="F51" i="3"/>
  <c r="F75" i="3"/>
  <c r="F22" i="3"/>
  <c r="F24" i="3"/>
  <c r="E2" i="6" a="1"/>
  <c r="E2" i="6" s="1"/>
  <c r="E4" i="6" s="1"/>
  <c r="F49" i="3"/>
  <c r="F32" i="3"/>
  <c r="G21" i="3" l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K2" i="1" l="1"/>
  <c r="K3" i="1" s="1"/>
  <c r="K4" i="1" s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</calcChain>
</file>

<file path=xl/sharedStrings.xml><?xml version="1.0" encoding="utf-8"?>
<sst xmlns="http://schemas.openxmlformats.org/spreadsheetml/2006/main" count="887" uniqueCount="184">
  <si>
    <t>Data</t>
  </si>
  <si>
    <t>Classificação</t>
  </si>
  <si>
    <t>Descrição</t>
  </si>
  <si>
    <t>Favorecido</t>
  </si>
  <si>
    <t>Centro de Custos</t>
  </si>
  <si>
    <t>Status</t>
  </si>
  <si>
    <t>Conta</t>
  </si>
  <si>
    <t>Valor</t>
  </si>
  <si>
    <t>Acumulado</t>
  </si>
  <si>
    <t>Movimentação</t>
  </si>
  <si>
    <t>Outras entradas</t>
  </si>
  <si>
    <t>Receitas financeiras</t>
  </si>
  <si>
    <t>Receita de serviços</t>
  </si>
  <si>
    <t>Receita de vendas</t>
  </si>
  <si>
    <t>Entradas</t>
  </si>
  <si>
    <t>Saídas</t>
  </si>
  <si>
    <t>Transferências (Entradas)</t>
  </si>
  <si>
    <t>Transferências (Saídas)</t>
  </si>
  <si>
    <t>Despesa com produtos</t>
  </si>
  <si>
    <t>Despesa com serviços</t>
  </si>
  <si>
    <t>Despesa com pessoal</t>
  </si>
  <si>
    <t>Despesas comerciais</t>
  </si>
  <si>
    <t>Despesas administrativas</t>
  </si>
  <si>
    <t>Despesas financeiras</t>
  </si>
  <si>
    <t>Impostos</t>
  </si>
  <si>
    <t>Investimentos</t>
  </si>
  <si>
    <t>Retirada de sócios</t>
  </si>
  <si>
    <t>Outras saídas</t>
  </si>
  <si>
    <t>Documento</t>
  </si>
  <si>
    <t>Administrativo</t>
  </si>
  <si>
    <t>Financeiro</t>
  </si>
  <si>
    <t>Comercial</t>
  </si>
  <si>
    <t>Operacional</t>
  </si>
  <si>
    <t>Marketing</t>
  </si>
  <si>
    <t>Favorecido 1</t>
  </si>
  <si>
    <t>Favorecido 2</t>
  </si>
  <si>
    <t>Favorecido 3</t>
  </si>
  <si>
    <t>Acum. (Previsão)</t>
  </si>
  <si>
    <t>Meses</t>
  </si>
  <si>
    <t>Variação</t>
  </si>
  <si>
    <t>NF 3357</t>
  </si>
  <si>
    <t>Pago</t>
  </si>
  <si>
    <t>NF 6547</t>
  </si>
  <si>
    <t>NF 3862</t>
  </si>
  <si>
    <t>NF 3730</t>
  </si>
  <si>
    <t>NF 5566</t>
  </si>
  <si>
    <t>NF 1981</t>
  </si>
  <si>
    <t>NF 7023</t>
  </si>
  <si>
    <t>NF 1712</t>
  </si>
  <si>
    <t>NF 2259</t>
  </si>
  <si>
    <t>NF 7606</t>
  </si>
  <si>
    <t>NF 9361</t>
  </si>
  <si>
    <t>NF 1691</t>
  </si>
  <si>
    <t>NF 2121</t>
  </si>
  <si>
    <t>NF 7851</t>
  </si>
  <si>
    <t>NF 7325</t>
  </si>
  <si>
    <t>NF 1807</t>
  </si>
  <si>
    <t>NF 1988</t>
  </si>
  <si>
    <t>NF 9820</t>
  </si>
  <si>
    <t>NF 6573</t>
  </si>
  <si>
    <t>NF 9990</t>
  </si>
  <si>
    <t>NF 8512</t>
  </si>
  <si>
    <t>NF 8895</t>
  </si>
  <si>
    <t>NF 6829</t>
  </si>
  <si>
    <t>NF 3343</t>
  </si>
  <si>
    <t>NF 5235</t>
  </si>
  <si>
    <t>NF 1329</t>
  </si>
  <si>
    <t>NF 6060</t>
  </si>
  <si>
    <t>NF 5112</t>
  </si>
  <si>
    <t>NF 1411</t>
  </si>
  <si>
    <t>NF 2976</t>
  </si>
  <si>
    <t>NF 7715</t>
  </si>
  <si>
    <t>NF 8547</t>
  </si>
  <si>
    <t>NF 9716</t>
  </si>
  <si>
    <t>NF 8431</t>
  </si>
  <si>
    <t>NF 7810</t>
  </si>
  <si>
    <t>NF 3521</t>
  </si>
  <si>
    <t>NF 2783</t>
  </si>
  <si>
    <t>NF 5312</t>
  </si>
  <si>
    <t>NF 3175</t>
  </si>
  <si>
    <t>NF 7485</t>
  </si>
  <si>
    <t>NF 9522</t>
  </si>
  <si>
    <t>NF 3582</t>
  </si>
  <si>
    <t>NF 6194</t>
  </si>
  <si>
    <t>NF 9449</t>
  </si>
  <si>
    <t>NF 5098</t>
  </si>
  <si>
    <t>NF 7861</t>
  </si>
  <si>
    <t>NF 7034</t>
  </si>
  <si>
    <t>NF 5126</t>
  </si>
  <si>
    <t>NF 9532</t>
  </si>
  <si>
    <t>NF 6970</t>
  </si>
  <si>
    <t>NF 4080</t>
  </si>
  <si>
    <t>NF 3655</t>
  </si>
  <si>
    <t>NF 3983</t>
  </si>
  <si>
    <t>NF 7201</t>
  </si>
  <si>
    <t>NF 4042</t>
  </si>
  <si>
    <t>NF 2749</t>
  </si>
  <si>
    <t>NF 9791</t>
  </si>
  <si>
    <t>NF 5426</t>
  </si>
  <si>
    <t>NF 3102</t>
  </si>
  <si>
    <t>NF 9208</t>
  </si>
  <si>
    <t>NF 5294</t>
  </si>
  <si>
    <t>NF 2334</t>
  </si>
  <si>
    <t>NF 3249</t>
  </si>
  <si>
    <t>NF 9483</t>
  </si>
  <si>
    <t>NF 8969</t>
  </si>
  <si>
    <t>NF 6025</t>
  </si>
  <si>
    <t>NF 6378</t>
  </si>
  <si>
    <t>NF 9517</t>
  </si>
  <si>
    <t>NF 8927</t>
  </si>
  <si>
    <t>NF 9942</t>
  </si>
  <si>
    <t>NF 4665</t>
  </si>
  <si>
    <t>NF 7372</t>
  </si>
  <si>
    <t>NF 8024</t>
  </si>
  <si>
    <t>NF 2980</t>
  </si>
  <si>
    <t>NF 8393</t>
  </si>
  <si>
    <t>NF 7871</t>
  </si>
  <si>
    <t>NF 7714</t>
  </si>
  <si>
    <t>NF 2568</t>
  </si>
  <si>
    <t>NF 9853</t>
  </si>
  <si>
    <t>NF 3277</t>
  </si>
  <si>
    <t>NF 2440</t>
  </si>
  <si>
    <t>NF 5870</t>
  </si>
  <si>
    <t>NF 6882</t>
  </si>
  <si>
    <t>NF 2162</t>
  </si>
  <si>
    <t>NF 4136</t>
  </si>
  <si>
    <t>NF 9992</t>
  </si>
  <si>
    <t>NF 4152</t>
  </si>
  <si>
    <t>NF 5265</t>
  </si>
  <si>
    <t>NF 5853</t>
  </si>
  <si>
    <t>NF 9610</t>
  </si>
  <si>
    <t>NF 5115</t>
  </si>
  <si>
    <t>NF 6843</t>
  </si>
  <si>
    <t>NF 6889</t>
  </si>
  <si>
    <t>NF 1351</t>
  </si>
  <si>
    <t>NF 1017</t>
  </si>
  <si>
    <t>NF 6487</t>
  </si>
  <si>
    <t>NF 4059</t>
  </si>
  <si>
    <t>NF 2792</t>
  </si>
  <si>
    <t>NF 9189</t>
  </si>
  <si>
    <t>NF 7680</t>
  </si>
  <si>
    <t>NF 7003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</si>
  <si>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</si>
  <si>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</si>
  <si>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</si>
  <si>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</si>
  <si>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</si>
  <si>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</si>
  <si>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</si>
  <si>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</si>
  <si>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</si>
  <si>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</si>
  <si>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</si>
  <si>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</si>
  <si>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Saldo Final</t>
  </si>
  <si>
    <t>Mín</t>
  </si>
  <si>
    <t>Máx</t>
  </si>
  <si>
    <t>Título</t>
  </si>
  <si>
    <t>Resumo Fluxo de Caixa</t>
  </si>
  <si>
    <t>Resumo Fluxo de Caixa Mensal</t>
  </si>
  <si>
    <t>Resumo Geral</t>
  </si>
  <si>
    <t>Total Saídas</t>
  </si>
  <si>
    <t>Total Entradas</t>
  </si>
  <si>
    <t>Selecionar Conta</t>
  </si>
  <si>
    <t>Selecionar Data</t>
  </si>
  <si>
    <t>Selecione o Mês</t>
  </si>
  <si>
    <t>Selecione o Ano</t>
  </si>
  <si>
    <t>Conta Guilherme1</t>
  </si>
  <si>
    <t>Conta Guilherme2</t>
  </si>
  <si>
    <t>Conta Guilherme3</t>
  </si>
  <si>
    <t>Margem de Dinheiro em Caixa</t>
  </si>
  <si>
    <t>Produto - Guilherme 3</t>
  </si>
  <si>
    <t>Produto - Guilherme 7</t>
  </si>
  <si>
    <t>Produto - Guilherme 6</t>
  </si>
  <si>
    <t>Produto - Guilherme 2</t>
  </si>
  <si>
    <t>Produto - Guilherme 5</t>
  </si>
  <si>
    <t>Produto - Guilherme 1</t>
  </si>
  <si>
    <t>Produto - Guilherme 4</t>
  </si>
  <si>
    <t>Cadastre as Entradas</t>
  </si>
  <si>
    <t>Cadastre as Saídas</t>
  </si>
  <si>
    <t>Cadastre os tipos  Transferências</t>
  </si>
  <si>
    <t>Cadastre os Centro de Custos</t>
  </si>
  <si>
    <t>Cadastre os Favorecidos</t>
  </si>
  <si>
    <t>Cadastre as Contas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</si>
</sst>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R$&quot;\ * #,##0_-;\-&quot;R$&quot;\ * #,##0_-;_-&quot;R$&quot;\ * &quot;-&quot;??_-;_-@_-"/>
    <numFmt numFmtId="165" formatCode="&quot;R$&quot;\ 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14999847407452621"/>
        <bgColor theme="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00000"/>
        <bgColor theme="4"/>
      </patternFill>
    </fill>
    <fill>
      <patternFill patternType="solid">
        <fgColor theme="7"/>
        <bgColor theme="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4" fontId="0" fillId="0" borderId="0" xfId="1" applyFont="1"/>
    <xf numFmtId="16" fontId="0" fillId="0" borderId="0" xfId="0" applyNumberFormat="1"/>
    <xf numFmtId="44" fontId="0" fillId="0" borderId="0" xfId="1" applyNumberFormat="1" applyFont="1"/>
    <xf numFmtId="44" fontId="0" fillId="0" borderId="0" xfId="1" applyNumberFormat="1" applyFont="1" applyAlignment="1">
      <alignment horizontal="center"/>
    </xf>
    <xf numFmtId="0" fontId="4" fillId="0" borderId="0" xfId="0" applyFont="1"/>
    <xf numFmtId="44" fontId="4" fillId="0" borderId="0" xfId="0" applyNumberFormat="1" applyFont="1"/>
    <xf numFmtId="3" fontId="0" fillId="0" borderId="0" xfId="0" applyNumberFormat="1"/>
    <xf numFmtId="0" fontId="2" fillId="2" borderId="1" xfId="0" applyFont="1" applyFill="1" applyBorder="1" applyAlignment="1">
      <alignment horizontal="center"/>
    </xf>
    <xf numFmtId="164" fontId="5" fillId="0" borderId="0" xfId="1" applyNumberFormat="1" applyFont="1" applyBorder="1"/>
    <xf numFmtId="164" fontId="5" fillId="0" borderId="0" xfId="0" applyNumberFormat="1" applyFont="1" applyBorder="1"/>
    <xf numFmtId="0" fontId="5" fillId="0" borderId="0" xfId="0" applyFont="1" applyBorder="1" applyAlignment="1">
      <alignment horizontal="center"/>
    </xf>
    <xf numFmtId="15" fontId="0" fillId="0" borderId="0" xfId="0" applyNumberFormat="1"/>
    <xf numFmtId="0" fontId="0" fillId="0" borderId="0" xfId="0" applyNumberFormat="1"/>
    <xf numFmtId="0" fontId="7" fillId="0" borderId="0" xfId="0" applyFont="1"/>
    <xf numFmtId="0" fontId="4" fillId="4" borderId="1" xfId="0" applyFont="1" applyFill="1" applyBorder="1" applyAlignment="1" applyProtection="1">
      <alignment horizontal="center"/>
      <protection locked="0"/>
    </xf>
    <xf numFmtId="14" fontId="4" fillId="4" borderId="1" xfId="0" applyNumberFormat="1" applyFont="1" applyFill="1" applyBorder="1" applyAlignment="1" applyProtection="1">
      <alignment horizontal="center"/>
      <protection locked="0"/>
    </xf>
    <xf numFmtId="0" fontId="4" fillId="4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Border="1"/>
    <xf numFmtId="0" fontId="4" fillId="0" borderId="0" xfId="0" applyFont="1" applyBorder="1"/>
    <xf numFmtId="17" fontId="5" fillId="0" borderId="0" xfId="0" applyNumberFormat="1" applyFont="1" applyFill="1" applyBorder="1" applyAlignment="1">
      <alignment horizontal="center"/>
    </xf>
    <xf numFmtId="17" fontId="5" fillId="0" borderId="0" xfId="0" applyNumberFormat="1" applyFont="1" applyBorder="1" applyAlignment="1">
      <alignment horizontal="center"/>
    </xf>
    <xf numFmtId="0" fontId="9" fillId="5" borderId="6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9" borderId="0" xfId="0" applyFill="1"/>
    <xf numFmtId="0" fontId="2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/>
    </xf>
    <xf numFmtId="10" fontId="11" fillId="0" borderId="1" xfId="2" applyNumberFormat="1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2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2">
                    <a:lumMod val="50000"/>
                  </a:schemeClr>
                </a:solidFill>
              </a:rPr>
              <a:t>Fluxo de 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Dashboard!$C$18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[0]!IntervaloData</c:f>
              <c:numCache>
                <c:formatCode>mmm\-yy</c:formatCode>
                <c:ptCount val="24"/>
                <c:pt idx="0">
                  <c:v>43862</c:v>
                </c:pt>
                <c:pt idx="1">
                  <c:v>43891</c:v>
                </c:pt>
                <c:pt idx="2">
                  <c:v>43922</c:v>
                </c:pt>
                <c:pt idx="3">
                  <c:v>43952</c:v>
                </c:pt>
                <c:pt idx="4">
                  <c:v>43983</c:v>
                </c:pt>
                <c:pt idx="5">
                  <c:v>44013</c:v>
                </c:pt>
                <c:pt idx="6">
                  <c:v>44044</c:v>
                </c:pt>
                <c:pt idx="7">
                  <c:v>44075</c:v>
                </c:pt>
                <c:pt idx="8">
                  <c:v>44105</c:v>
                </c:pt>
                <c:pt idx="9">
                  <c:v>44136</c:v>
                </c:pt>
                <c:pt idx="10">
                  <c:v>44166</c:v>
                </c:pt>
                <c:pt idx="11">
                  <c:v>44197</c:v>
                </c:pt>
                <c:pt idx="12">
                  <c:v>44228</c:v>
                </c:pt>
                <c:pt idx="13">
                  <c:v>44256</c:v>
                </c:pt>
                <c:pt idx="14">
                  <c:v>44287</c:v>
                </c:pt>
                <c:pt idx="15">
                  <c:v>44317</c:v>
                </c:pt>
                <c:pt idx="16">
                  <c:v>44348</c:v>
                </c:pt>
                <c:pt idx="17">
                  <c:v>44378</c:v>
                </c:pt>
                <c:pt idx="18">
                  <c:v>44409</c:v>
                </c:pt>
                <c:pt idx="19">
                  <c:v>44440</c:v>
                </c:pt>
                <c:pt idx="20">
                  <c:v>44470</c:v>
                </c:pt>
                <c:pt idx="21">
                  <c:v>44501</c:v>
                </c:pt>
                <c:pt idx="22">
                  <c:v>44531</c:v>
                </c:pt>
                <c:pt idx="23">
                  <c:v>44562</c:v>
                </c:pt>
              </c:numCache>
            </c:numRef>
          </c:cat>
          <c:val>
            <c:numRef>
              <c:f>[0]!IntervaloEntradas</c:f>
              <c:numCache>
                <c:formatCode>_-"R$"\ * #,##0_-;\-"R$"\ * #,##0_-;_-"R$"\ * "-"??_-;_-@_-</c:formatCode>
                <c:ptCount val="24"/>
                <c:pt idx="0">
                  <c:v>28680</c:v>
                </c:pt>
                <c:pt idx="1">
                  <c:v>18200</c:v>
                </c:pt>
                <c:pt idx="2">
                  <c:v>20491</c:v>
                </c:pt>
                <c:pt idx="3">
                  <c:v>16859</c:v>
                </c:pt>
                <c:pt idx="4">
                  <c:v>18115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5-49E5-887D-9EB5B590F850}"/>
            </c:ext>
          </c:extLst>
        </c:ser>
        <c:ser>
          <c:idx val="1"/>
          <c:order val="1"/>
          <c:tx>
            <c:strRef>
              <c:f>Dashboard!$D$18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[0]!IntervaloData</c:f>
              <c:numCache>
                <c:formatCode>mmm\-yy</c:formatCode>
                <c:ptCount val="24"/>
                <c:pt idx="0">
                  <c:v>43862</c:v>
                </c:pt>
                <c:pt idx="1">
                  <c:v>43891</c:v>
                </c:pt>
                <c:pt idx="2">
                  <c:v>43922</c:v>
                </c:pt>
                <c:pt idx="3">
                  <c:v>43952</c:v>
                </c:pt>
                <c:pt idx="4">
                  <c:v>43983</c:v>
                </c:pt>
                <c:pt idx="5">
                  <c:v>44013</c:v>
                </c:pt>
                <c:pt idx="6">
                  <c:v>44044</c:v>
                </c:pt>
                <c:pt idx="7">
                  <c:v>44075</c:v>
                </c:pt>
                <c:pt idx="8">
                  <c:v>44105</c:v>
                </c:pt>
                <c:pt idx="9">
                  <c:v>44136</c:v>
                </c:pt>
                <c:pt idx="10">
                  <c:v>44166</c:v>
                </c:pt>
                <c:pt idx="11">
                  <c:v>44197</c:v>
                </c:pt>
                <c:pt idx="12">
                  <c:v>44228</c:v>
                </c:pt>
                <c:pt idx="13">
                  <c:v>44256</c:v>
                </c:pt>
                <c:pt idx="14">
                  <c:v>44287</c:v>
                </c:pt>
                <c:pt idx="15">
                  <c:v>44317</c:v>
                </c:pt>
                <c:pt idx="16">
                  <c:v>44348</c:v>
                </c:pt>
                <c:pt idx="17">
                  <c:v>44378</c:v>
                </c:pt>
                <c:pt idx="18">
                  <c:v>44409</c:v>
                </c:pt>
                <c:pt idx="19">
                  <c:v>44440</c:v>
                </c:pt>
                <c:pt idx="20">
                  <c:v>44470</c:v>
                </c:pt>
                <c:pt idx="21">
                  <c:v>44501</c:v>
                </c:pt>
                <c:pt idx="22">
                  <c:v>44531</c:v>
                </c:pt>
                <c:pt idx="23">
                  <c:v>44562</c:v>
                </c:pt>
              </c:numCache>
            </c:numRef>
          </c:cat>
          <c:val>
            <c:numRef>
              <c:f>[0]!IntervaloSaidas</c:f>
              <c:numCache>
                <c:formatCode>_-"R$"\ * #,##0_-;\-"R$"\ * #,##0_-;_-"R$"\ * "-"??_-;_-@_-</c:formatCode>
                <c:ptCount val="24"/>
                <c:pt idx="0">
                  <c:v>-14682</c:v>
                </c:pt>
                <c:pt idx="1">
                  <c:v>-11900</c:v>
                </c:pt>
                <c:pt idx="2">
                  <c:v>-9464</c:v>
                </c:pt>
                <c:pt idx="3">
                  <c:v>-13945</c:v>
                </c:pt>
                <c:pt idx="4">
                  <c:v>-873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55-49E5-887D-9EB5B590F8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719520799"/>
        <c:axId val="715284319"/>
      </c:barChart>
      <c:dateAx>
        <c:axId val="719520799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5284319"/>
        <c:crosses val="autoZero"/>
        <c:auto val="1"/>
        <c:lblOffset val="100"/>
        <c:baseTimeUnit val="months"/>
      </c:dateAx>
      <c:valAx>
        <c:axId val="715284319"/>
        <c:scaling>
          <c:orientation val="minMax"/>
        </c:scaling>
        <c:delete val="0"/>
        <c:axPos val="l"/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9520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8575" cap="flat" cmpd="sng" algn="ctr">
      <a:solidFill>
        <a:schemeClr val="tx2">
          <a:lumMod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2">
                    <a:lumMod val="50000"/>
                  </a:schemeClr>
                </a:solidFill>
              </a:rPr>
              <a:t>Saldo</a:t>
            </a:r>
            <a:r>
              <a:rPr lang="pt-BR" sz="1800" b="1" baseline="0">
                <a:solidFill>
                  <a:schemeClr val="tx2">
                    <a:lumMod val="50000"/>
                  </a:schemeClr>
                </a:solidFill>
              </a:rPr>
              <a:t> Final</a:t>
            </a:r>
            <a:endParaRPr lang="pt-BR" sz="1800" b="1">
              <a:solidFill>
                <a:schemeClr val="tx2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Dashboard!$E$18</c:f>
              <c:strCache>
                <c:ptCount val="1"/>
                <c:pt idx="0">
                  <c:v>Saldo Final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Dashboard!$E$19:$E$42</c:f>
              <c:numCache>
                <c:formatCode>_-"R$"\ * #,##0_-;\-"R$"\ * #,##0_-;_-"R$"\ * "-"??_-;_-@_-</c:formatCode>
                <c:ptCount val="24"/>
                <c:pt idx="0">
                  <c:v>13998</c:v>
                </c:pt>
                <c:pt idx="1">
                  <c:v>6300</c:v>
                </c:pt>
                <c:pt idx="2">
                  <c:v>11027</c:v>
                </c:pt>
                <c:pt idx="3">
                  <c:v>2914</c:v>
                </c:pt>
                <c:pt idx="4">
                  <c:v>17242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69-4048-A909-1712E91B56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719520799"/>
        <c:axId val="715284319"/>
      </c:barChart>
      <c:catAx>
        <c:axId val="719520799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5284319"/>
        <c:crosses val="autoZero"/>
        <c:auto val="1"/>
        <c:lblAlgn val="ctr"/>
        <c:lblOffset val="100"/>
        <c:noMultiLvlLbl val="0"/>
      </c:catAx>
      <c:valAx>
        <c:axId val="715284319"/>
        <c:scaling>
          <c:orientation val="minMax"/>
        </c:scaling>
        <c:delete val="0"/>
        <c:axPos val="l"/>
        <c:numFmt formatCode="_(&quot;R$&quot;* #,##0_);_(&quot;R$&quot;* \(#,##0\);_(&quot;R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9520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8575" cap="flat" cmpd="sng" algn="ctr">
      <a:solidFill>
        <a:schemeClr val="tx2">
          <a:lumMod val="50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Cadastros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10" Type="http://schemas.openxmlformats.org/officeDocument/2006/relationships/image" Target="../media/image6.png"/><Relationship Id="rId4" Type="http://schemas.openxmlformats.org/officeDocument/2006/relationships/image" Target="../media/image2.png"/><Relationship Id="rId9" Type="http://schemas.openxmlformats.org/officeDocument/2006/relationships/hyperlink" Target="#'Fluxo de Caixa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image" Target="../media/image7.png"/><Relationship Id="rId1" Type="http://schemas.openxmlformats.org/officeDocument/2006/relationships/hyperlink" Target="#'Fluxo de Caixa'!A1"/><Relationship Id="rId4" Type="http://schemas.openxmlformats.org/officeDocument/2006/relationships/image" Target="../media/image8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dastros!A1"/><Relationship Id="rId2" Type="http://schemas.openxmlformats.org/officeDocument/2006/relationships/image" Target="../media/image9.jpeg"/><Relationship Id="rId1" Type="http://schemas.openxmlformats.org/officeDocument/2006/relationships/hyperlink" Target="#Dashboard!A1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152401</xdr:colOff>
      <xdr:row>16</xdr:row>
      <xdr:rowOff>169769</xdr:rowOff>
    </xdr:from>
    <xdr:to>
      <xdr:col>18</xdr:col>
      <xdr:colOff>661149</xdr:colOff>
      <xdr:row>30</xdr:row>
      <xdr:rowOff>123265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6C353BE-5827-4004-985A-9463E1A80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153707</xdr:colOff>
      <xdr:row>31</xdr:row>
      <xdr:rowOff>44825</xdr:rowOff>
    </xdr:from>
    <xdr:to>
      <xdr:col>18</xdr:col>
      <xdr:colOff>664322</xdr:colOff>
      <xdr:row>42</xdr:row>
      <xdr:rowOff>25588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B8F7482-2584-4C65-BBE4-299E7DDEEE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26369</xdr:colOff>
      <xdr:row>9</xdr:row>
      <xdr:rowOff>19235</xdr:rowOff>
    </xdr:from>
    <xdr:to>
      <xdr:col>10</xdr:col>
      <xdr:colOff>657972</xdr:colOff>
      <xdr:row>10</xdr:row>
      <xdr:rowOff>355542</xdr:rowOff>
    </xdr:to>
    <xdr:pic>
      <xdr:nvPicPr>
        <xdr:cNvPr id="6" name="Imagem 5" descr="Fluxo de caixa - ícones de setas grátis">
          <a:extLst>
            <a:ext uri="{FF2B5EF4-FFF2-40B4-BE49-F238E27FC236}">
              <a16:creationId xmlns:a16="http://schemas.microsoft.com/office/drawing/2014/main" id="{17C99F35-7223-447D-810E-0EC13202B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693" y="1991470"/>
          <a:ext cx="634778" cy="6308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39790</xdr:colOff>
      <xdr:row>9</xdr:row>
      <xdr:rowOff>30441</xdr:rowOff>
    </xdr:from>
    <xdr:to>
      <xdr:col>2</xdr:col>
      <xdr:colOff>657973</xdr:colOff>
      <xdr:row>10</xdr:row>
      <xdr:rowOff>352589</xdr:rowOff>
    </xdr:to>
    <xdr:pic>
      <xdr:nvPicPr>
        <xdr:cNvPr id="7" name="Imagem 6" descr="Banco - ícones de o negócio grátis">
          <a:extLst>
            <a:ext uri="{FF2B5EF4-FFF2-40B4-BE49-F238E27FC236}">
              <a16:creationId xmlns:a16="http://schemas.microsoft.com/office/drawing/2014/main" id="{16455A75-02EB-4E14-8668-EEC0060462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8466" y="2002676"/>
          <a:ext cx="621358" cy="616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59204</xdr:colOff>
      <xdr:row>9</xdr:row>
      <xdr:rowOff>29267</xdr:rowOff>
    </xdr:from>
    <xdr:to>
      <xdr:col>6</xdr:col>
      <xdr:colOff>697940</xdr:colOff>
      <xdr:row>10</xdr:row>
      <xdr:rowOff>351819</xdr:rowOff>
    </xdr:to>
    <xdr:pic>
      <xdr:nvPicPr>
        <xdr:cNvPr id="9" name="Imagem 8" descr="Forma de pagamento - ícones de comércio grátis">
          <a:extLst>
            <a:ext uri="{FF2B5EF4-FFF2-40B4-BE49-F238E27FC236}">
              <a16:creationId xmlns:a16="http://schemas.microsoft.com/office/drawing/2014/main" id="{DC573E05-B39D-4513-A0D1-206060F939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8880" y="2001502"/>
          <a:ext cx="635561" cy="610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67235</xdr:colOff>
      <xdr:row>9</xdr:row>
      <xdr:rowOff>46940</xdr:rowOff>
    </xdr:from>
    <xdr:to>
      <xdr:col>14</xdr:col>
      <xdr:colOff>675528</xdr:colOff>
      <xdr:row>10</xdr:row>
      <xdr:rowOff>341967</xdr:rowOff>
    </xdr:to>
    <xdr:pic>
      <xdr:nvPicPr>
        <xdr:cNvPr id="13" name="Imagem 12" descr="ícone Grafico, aumentar, bares Livre de Linear Finance Icons">
          <a:extLst>
            <a:ext uri="{FF2B5EF4-FFF2-40B4-BE49-F238E27FC236}">
              <a16:creationId xmlns:a16="http://schemas.microsoft.com/office/drawing/2014/main" id="{12AAE50E-0594-4B2E-A8DA-6EEB9555C4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59970" y="2019175"/>
          <a:ext cx="605118" cy="586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246532</xdr:colOff>
      <xdr:row>0</xdr:row>
      <xdr:rowOff>83296</xdr:rowOff>
    </xdr:from>
    <xdr:to>
      <xdr:col>18</xdr:col>
      <xdr:colOff>638736</xdr:colOff>
      <xdr:row>0</xdr:row>
      <xdr:rowOff>468369</xdr:rowOff>
    </xdr:to>
    <xdr:pic>
      <xdr:nvPicPr>
        <xdr:cNvPr id="14" name="Imagem 13" descr="Index of /novo-site/app/icon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528FD81-06F6-4F6A-83D1-A07F8F549F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44150" y="83296"/>
          <a:ext cx="395379" cy="381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92822</xdr:colOff>
      <xdr:row>0</xdr:row>
      <xdr:rowOff>54349</xdr:rowOff>
    </xdr:from>
    <xdr:to>
      <xdr:col>17</xdr:col>
      <xdr:colOff>564519</xdr:colOff>
      <xdr:row>1</xdr:row>
      <xdr:rowOff>8030</xdr:rowOff>
    </xdr:to>
    <xdr:pic>
      <xdr:nvPicPr>
        <xdr:cNvPr id="15" name="Imagem 14" descr="Fluxo de caixa - ícones de negócios e finanças gráti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65D5D71-3AAB-4355-9939-DA734BAA42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85322" y="54349"/>
          <a:ext cx="471697" cy="464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147515</xdr:colOff>
      <xdr:row>1</xdr:row>
      <xdr:rowOff>59593</xdr:rowOff>
    </xdr:from>
    <xdr:to>
      <xdr:col>7</xdr:col>
      <xdr:colOff>616037</xdr:colOff>
      <xdr:row>3</xdr:row>
      <xdr:rowOff>160718</xdr:rowOff>
    </xdr:to>
    <xdr:pic>
      <xdr:nvPicPr>
        <xdr:cNvPr id="2" name="Imagem 1" descr="Fluxo de caixa - ícones de negócios e finanças grát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679471-856C-4223-8148-3AF72FF96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2323" y="242766"/>
          <a:ext cx="474872" cy="4674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39810</xdr:colOff>
      <xdr:row>1</xdr:row>
      <xdr:rowOff>29307</xdr:rowOff>
    </xdr:from>
    <xdr:to>
      <xdr:col>8</xdr:col>
      <xdr:colOff>543494</xdr:colOff>
      <xdr:row>4</xdr:row>
      <xdr:rowOff>10502</xdr:rowOff>
    </xdr:to>
    <xdr:pic>
      <xdr:nvPicPr>
        <xdr:cNvPr id="5" name="Imagem 4" descr="Dashboard Icon Blue PNG Image | Transparent PNG Free Download on SeekPNG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CAB0B6-0B1F-4904-97E6-1C7748F30F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937" r="21379"/>
        <a:stretch/>
      </xdr:blipFill>
      <xdr:spPr bwMode="auto">
        <a:xfrm>
          <a:off x="10568598" y="212480"/>
          <a:ext cx="503684" cy="5307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209550</xdr:colOff>
      <xdr:row>1</xdr:row>
      <xdr:rowOff>6350</xdr:rowOff>
    </xdr:from>
    <xdr:to>
      <xdr:col>13</xdr:col>
      <xdr:colOff>716409</xdr:colOff>
      <xdr:row>4</xdr:row>
      <xdr:rowOff>489</xdr:rowOff>
    </xdr:to>
    <xdr:pic>
      <xdr:nvPicPr>
        <xdr:cNvPr id="2" name="Imagem 1" descr="Dashboard Icon Blue PNG Image | Transparent PNG Free Download on Seek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E5A944-87BC-4170-9D72-DE389D596B9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937" r="21379"/>
        <a:stretch/>
      </xdr:blipFill>
      <xdr:spPr bwMode="auto">
        <a:xfrm>
          <a:off x="14878050" y="187325"/>
          <a:ext cx="503684" cy="5370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238125</xdr:colOff>
      <xdr:row>1</xdr:row>
      <xdr:rowOff>101600</xdr:rowOff>
    </xdr:from>
    <xdr:to>
      <xdr:col>14</xdr:col>
      <xdr:colOff>630329</xdr:colOff>
      <xdr:row>3</xdr:row>
      <xdr:rowOff>121548</xdr:rowOff>
    </xdr:to>
    <xdr:pic>
      <xdr:nvPicPr>
        <xdr:cNvPr id="3" name="Imagem 2" descr="Index of /novo-site/app/icon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132273-8AFF-41EB-8A04-18324DA5A9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63875" y="282575"/>
          <a:ext cx="392204" cy="381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0144B0-B33C-4BC9-B9FC-668621E41504}" name="Tabela2" displayName="Tabela2" ref="A1:L102" totalsRowShown="0" headerRowDxfId="23">
  <autoFilter ref="A1:L102" xr:uid="{ABD00A3D-F048-4978-AD3E-21CD8EA5130B}"/>
  <sortState xmlns:xlrd2="http://schemas.microsoft.com/office/spreadsheetml/2017/richdata2" ref="A2:L102">
    <sortCondition ref="A1:A102"/>
  </sortState>
  <tableColumns count="12">
    <tableColumn id="1" xr3:uid="{0F690CFA-F349-4A6E-98FC-5BEFF664D25F}" name="Data" dataDxfId="22"/>
    <tableColumn id="11" xr3:uid="{58ABF5F5-28CA-45D2-80FF-19B5139A3E16}" name="Movimentação" dataDxfId="21"/>
    <tableColumn id="2" xr3:uid="{4B565FE0-0F2D-4451-A1B8-A12303897842}" name="Classificação"/>
    <tableColumn id="12" xr3:uid="{7DC6CDCD-CFFC-40AC-AC83-A3B72C301FF2}" name="Documento" dataDxfId="20"/>
    <tableColumn id="4" xr3:uid="{90360BA4-54D0-431C-9710-B7810B4143E7}" name="Descrição" dataDxfId="19"/>
    <tableColumn id="5" xr3:uid="{DA16888D-C443-414B-9D2A-C4CA74F98482}" name="Favorecido" dataDxfId="18"/>
    <tableColumn id="6" xr3:uid="{7270C001-C63B-4CF0-9386-5091C3FAA4B8}" name="Centro de Custos" dataDxfId="17"/>
    <tableColumn id="7" xr3:uid="{3251BC33-1A6F-45ED-A499-099CF9BA37D4}" name="Status" dataDxfId="16"/>
    <tableColumn id="8" xr3:uid="{434AD60B-4B56-47B3-9719-64941E883747}" name="Conta" dataDxfId="15"/>
    <tableColumn id="9" xr3:uid="{59FAB1AD-54A9-411B-8749-7F70295F9DCD}" name="Valor" dataDxfId="14" dataCellStyle="Moeda"/>
    <tableColumn id="10" xr3:uid="{1171A45D-5D05-466F-8C43-C4A1CC375414}" name="Acumulado" dataDxfId="13" dataCellStyle="Moeda">
      <calculatedColumnFormula>IF(ROW()=2,IF(Tabela2[[#This Row],[Status]]="Em aberto",0,IF(Tabela2[[#This Row],[Movimentação]]="Saídas",-J2,J2)),IF(Tabela2[[#This Row],[Status]]="Em aberto",0,IF(Tabela2[[#This Row],[Movimentação]]="Saídas",-J2,J2))+K1)</calculatedColumnFormula>
    </tableColumn>
    <tableColumn id="13" xr3:uid="{26D6BED9-AB19-423B-BABC-8EB6F0818C77}" name="Acum. (Previsão)" dataDxfId="12" dataCellStyle="Moeda">
      <calculatedColumnFormula>IF(ROW()=2,IF(Tabela2[[#This Row],[Movimentação]]="Saídas",-J2,J2),IF(Tabela2[[#This Row],[Movimentação]]="Saídas",-J2,J2)+L1)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D1276-7D1B-4D1B-B6EE-DF5F2ABFDB21}">
  <sheetPr codeName="Planilha3">
    <tabColor rgb="FF002060"/>
  </sheetPr>
  <dimension ref="B1:T714"/>
  <sheetViews>
    <sheetView showGridLines="0" showRowColHeaders="0" tabSelected="1" zoomScale="85" zoomScaleNormal="85" workbookViewId="0">
      <selection activeCell="X16" sqref="X16"/>
    </sheetView>
  </sheetViews>
  <sheetFormatPr defaultRowHeight="14.5" x14ac:dyDescent="0.35"/>
  <cols>
    <col min="1" max="1" width="1.36328125" customWidth="1"/>
    <col min="2" max="2" width="17" customWidth="1"/>
    <col min="3" max="5" width="15.26953125" customWidth="1"/>
    <col min="6" max="7" width="14.26953125" bestFit="1" customWidth="1"/>
    <col min="8" max="8" width="11.90625" style="9" customWidth="1"/>
    <col min="9" max="9" width="20.90625" customWidth="1"/>
    <col min="10" max="10" width="14.26953125" bestFit="1" customWidth="1"/>
    <col min="11" max="11" width="17.1796875" bestFit="1" customWidth="1"/>
    <col min="12" max="12" width="9.1796875" customWidth="1"/>
    <col min="13" max="13" width="14.26953125" bestFit="1" customWidth="1"/>
    <col min="14" max="14" width="14.26953125" customWidth="1"/>
    <col min="15" max="16" width="14.26953125" bestFit="1" customWidth="1"/>
    <col min="19" max="19" width="10.7265625" bestFit="1" customWidth="1"/>
    <col min="20" max="20" width="2" customWidth="1"/>
    <col min="22" max="22" width="10" bestFit="1" customWidth="1"/>
  </cols>
  <sheetData>
    <row r="1" spans="2:19" ht="39.75" customHeight="1" x14ac:dyDescent="0.35">
      <c r="B1" s="33" t="s">
        <v>158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5"/>
    </row>
    <row r="2" spans="2:19" ht="9" customHeight="1" x14ac:dyDescent="0.35">
      <c r="B2" s="22"/>
      <c r="C2" s="22"/>
      <c r="D2" s="22"/>
      <c r="E2" s="22"/>
      <c r="F2" s="22"/>
      <c r="G2" s="22"/>
      <c r="H2" s="23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</row>
    <row r="3" spans="2:19" s="18" customFormat="1" ht="21" x14ac:dyDescent="0.35">
      <c r="B3" s="26" t="s">
        <v>160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8"/>
    </row>
    <row r="5" spans="2:19" x14ac:dyDescent="0.35">
      <c r="I5" s="29" t="s">
        <v>163</v>
      </c>
      <c r="J5" s="30"/>
      <c r="K5" s="19" t="s">
        <v>167</v>
      </c>
    </row>
    <row r="6" spans="2:19" x14ac:dyDescent="0.35">
      <c r="I6" s="31" t="s">
        <v>164</v>
      </c>
      <c r="J6" s="32"/>
      <c r="K6" s="20">
        <v>43971</v>
      </c>
    </row>
    <row r="9" spans="2:19" ht="15" customHeight="1" x14ac:dyDescent="0.35">
      <c r="C9" s="36" t="s">
        <v>162</v>
      </c>
      <c r="D9" s="36"/>
      <c r="E9" s="36"/>
      <c r="G9" s="39" t="s">
        <v>161</v>
      </c>
      <c r="H9" s="39"/>
      <c r="I9" s="39"/>
      <c r="K9" s="40" t="s">
        <v>154</v>
      </c>
      <c r="L9" s="40"/>
      <c r="M9" s="40"/>
      <c r="O9" s="40" t="s">
        <v>170</v>
      </c>
      <c r="P9" s="40"/>
      <c r="Q9" s="40"/>
    </row>
    <row r="10" spans="2:19" ht="23.25" customHeight="1" x14ac:dyDescent="0.35">
      <c r="C10" s="43">
        <f>SUMIFS('Fluxo de Caixa'!J:J,'Fluxo de Caixa'!I:I,Dashboard!K5,'Fluxo de Caixa'!A:A,"&lt;="&amp;Dashboard!K6,'Fluxo de Caixa'!B:B,"Entradas",'Fluxo de Caixa'!H:H,"Pago")</f>
        <v>100216</v>
      </c>
      <c r="D10" s="43"/>
      <c r="E10" s="43"/>
      <c r="G10" s="43">
        <f>SUMIFS('Fluxo de Caixa'!J:J,'Fluxo de Caixa'!I:I,Dashboard!K5,'Fluxo de Caixa'!A:A,"&lt;="&amp;Dashboard!K6,'Fluxo de Caixa'!B:B,"Saídas",'Fluxo de Caixa'!H:H,"Pago")</f>
        <v>56267</v>
      </c>
      <c r="H10" s="43"/>
      <c r="I10" s="43"/>
      <c r="K10" s="43">
        <f>C10-G10</f>
        <v>43949</v>
      </c>
      <c r="L10" s="43"/>
      <c r="M10" s="43"/>
      <c r="O10" s="42">
        <f>G10/C10</f>
        <v>0.56145725233495647</v>
      </c>
      <c r="P10" s="42"/>
      <c r="Q10" s="42"/>
    </row>
    <row r="11" spans="2:19" ht="31.5" customHeight="1" x14ac:dyDescent="0.35">
      <c r="C11" s="43"/>
      <c r="D11" s="43"/>
      <c r="E11" s="43"/>
      <c r="G11" s="43"/>
      <c r="H11" s="43"/>
      <c r="I11" s="43"/>
      <c r="K11" s="43"/>
      <c r="L11" s="43"/>
      <c r="M11" s="43"/>
      <c r="O11" s="42"/>
      <c r="P11" s="42"/>
      <c r="Q11" s="42"/>
    </row>
    <row r="12" spans="2:19" x14ac:dyDescent="0.35">
      <c r="D12" s="22"/>
      <c r="E12" s="22"/>
      <c r="F12" s="22"/>
      <c r="G12" s="22"/>
      <c r="H12" s="23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</row>
    <row r="13" spans="2:19" ht="21" x14ac:dyDescent="0.35">
      <c r="B13" s="26" t="s">
        <v>159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5" spans="2:19" x14ac:dyDescent="0.35">
      <c r="B15" s="12" t="s">
        <v>165</v>
      </c>
      <c r="C15" s="19" t="s">
        <v>143</v>
      </c>
      <c r="K15" s="17"/>
    </row>
    <row r="16" spans="2:19" x14ac:dyDescent="0.35">
      <c r="B16" s="12" t="s">
        <v>166</v>
      </c>
      <c r="C16" s="21">
        <v>2020</v>
      </c>
    </row>
    <row r="18" spans="2:8" ht="47" customHeight="1" x14ac:dyDescent="0.35">
      <c r="B18" s="37" t="s">
        <v>38</v>
      </c>
      <c r="C18" s="37" t="s">
        <v>14</v>
      </c>
      <c r="D18" s="37" t="s">
        <v>15</v>
      </c>
      <c r="E18" s="37" t="s">
        <v>154</v>
      </c>
      <c r="F18" s="37" t="s">
        <v>39</v>
      </c>
      <c r="G18" s="37" t="s">
        <v>8</v>
      </c>
    </row>
    <row r="19" spans="2:8" x14ac:dyDescent="0.35">
      <c r="B19" s="24">
        <f>DATE($C$16,VLOOKUP(C15,Auxiliar!$A$1:$B$12,2,0),1)</f>
        <v>43862</v>
      </c>
      <c r="C19" s="13">
        <f>SUMIFS('Fluxo de Caixa'!J:J,'Fluxo de Caixa'!B:B,"Entradas",'Fluxo de Caixa'!H:H,"Pago",'Fluxo de Caixa'!A:A,"&gt;="&amp;Dashboard!B19,'Fluxo de Caixa'!A:A,"&lt;="&amp;EOMONTH(Dashboard!B19,0))</f>
        <v>28680</v>
      </c>
      <c r="D19" s="13">
        <f>-SUMIFS('Fluxo de Caixa'!J:J,'Fluxo de Caixa'!B:B,"Saídas",'Fluxo de Caixa'!H:H,"Pago",'Fluxo de Caixa'!A:A,"&gt;="&amp;Dashboard!B19,'Fluxo de Caixa'!A:A,"&lt;="&amp;EOMONTH(Dashboard!B19,0))</f>
        <v>-14682</v>
      </c>
      <c r="E19" s="13">
        <f>C19+D19</f>
        <v>13998</v>
      </c>
      <c r="F19" s="14">
        <f>+C19+D19</f>
        <v>13998</v>
      </c>
      <c r="G19" s="14">
        <f>+F19</f>
        <v>13998</v>
      </c>
      <c r="H19" s="10"/>
    </row>
    <row r="20" spans="2:8" x14ac:dyDescent="0.35">
      <c r="B20" s="25">
        <f>DATE(YEAR(B19),MONTH(B19)+1,1)</f>
        <v>43891</v>
      </c>
      <c r="C20" s="13">
        <f>SUMIFS('Fluxo de Caixa'!J:J,'Fluxo de Caixa'!B:B,"Entradas",'Fluxo de Caixa'!H:H,"Pago",'Fluxo de Caixa'!A:A,"&gt;="&amp;Dashboard!B20,'Fluxo de Caixa'!A:A,"&lt;="&amp;EOMONTH(Dashboard!B20,0))</f>
        <v>18200</v>
      </c>
      <c r="D20" s="13">
        <f>-SUMIFS('Fluxo de Caixa'!J:J,'Fluxo de Caixa'!B:B,"Saídas",'Fluxo de Caixa'!H:H,"Pago",'Fluxo de Caixa'!A:A,"&gt;="&amp;Dashboard!B20,'Fluxo de Caixa'!A:A,"&lt;="&amp;EOMONTH(Dashboard!B20,0))</f>
        <v>-11900</v>
      </c>
      <c r="E20" s="13">
        <f t="shared" ref="E20:E78" si="0">C20+D20</f>
        <v>6300</v>
      </c>
      <c r="F20" s="14">
        <f t="shared" ref="F20:F78" si="1">+C20+D20</f>
        <v>6300</v>
      </c>
      <c r="G20" s="14">
        <f>+G19+F20</f>
        <v>20298</v>
      </c>
      <c r="H20" s="10"/>
    </row>
    <row r="21" spans="2:8" x14ac:dyDescent="0.35">
      <c r="B21" s="25">
        <f t="shared" ref="B21:B78" si="2">DATE(YEAR(B20),MONTH(B20)+1,1)</f>
        <v>43922</v>
      </c>
      <c r="C21" s="13">
        <f>SUMIFS('Fluxo de Caixa'!J:J,'Fluxo de Caixa'!B:B,"Entradas",'Fluxo de Caixa'!H:H,"Pago",'Fluxo de Caixa'!A:A,"&gt;="&amp;Dashboard!B21,'Fluxo de Caixa'!A:A,"&lt;="&amp;EOMONTH(Dashboard!B21,0))</f>
        <v>20491</v>
      </c>
      <c r="D21" s="13">
        <f>-SUMIFS('Fluxo de Caixa'!J:J,'Fluxo de Caixa'!B:B,"Saídas",'Fluxo de Caixa'!H:H,"Pago",'Fluxo de Caixa'!A:A,"&gt;="&amp;Dashboard!B21,'Fluxo de Caixa'!A:A,"&lt;="&amp;EOMONTH(Dashboard!B21,0))</f>
        <v>-9464</v>
      </c>
      <c r="E21" s="13">
        <f t="shared" si="0"/>
        <v>11027</v>
      </c>
      <c r="F21" s="14">
        <f t="shared" si="1"/>
        <v>11027</v>
      </c>
      <c r="G21" s="14">
        <f t="shared" ref="G21:G78" si="3">+G20+F21</f>
        <v>31325</v>
      </c>
      <c r="H21" s="10"/>
    </row>
    <row r="22" spans="2:8" x14ac:dyDescent="0.35">
      <c r="B22" s="25">
        <f t="shared" si="2"/>
        <v>43952</v>
      </c>
      <c r="C22" s="13">
        <f>SUMIFS('Fluxo de Caixa'!J:J,'Fluxo de Caixa'!B:B,"Entradas",'Fluxo de Caixa'!H:H,"Pago",'Fluxo de Caixa'!A:A,"&gt;="&amp;Dashboard!B22,'Fluxo de Caixa'!A:A,"&lt;="&amp;EOMONTH(Dashboard!B22,0))</f>
        <v>16859</v>
      </c>
      <c r="D22" s="13">
        <f>-SUMIFS('Fluxo de Caixa'!J:J,'Fluxo de Caixa'!B:B,"Saídas",'Fluxo de Caixa'!H:H,"Pago",'Fluxo de Caixa'!A:A,"&gt;="&amp;Dashboard!B22,'Fluxo de Caixa'!A:A,"&lt;="&amp;EOMONTH(Dashboard!B22,0))</f>
        <v>-13945</v>
      </c>
      <c r="E22" s="13">
        <f t="shared" si="0"/>
        <v>2914</v>
      </c>
      <c r="F22" s="14">
        <f t="shared" si="1"/>
        <v>2914</v>
      </c>
      <c r="G22" s="14">
        <f t="shared" si="3"/>
        <v>34239</v>
      </c>
      <c r="H22" s="10"/>
    </row>
    <row r="23" spans="2:8" x14ac:dyDescent="0.35">
      <c r="B23" s="25">
        <f t="shared" si="2"/>
        <v>43983</v>
      </c>
      <c r="C23" s="13">
        <f>SUMIFS('Fluxo de Caixa'!J:J,'Fluxo de Caixa'!B:B,"Entradas",'Fluxo de Caixa'!H:H,"Pago",'Fluxo de Caixa'!A:A,"&gt;="&amp;Dashboard!B23,'Fluxo de Caixa'!A:A,"&lt;="&amp;EOMONTH(Dashboard!B23,0))</f>
        <v>18115</v>
      </c>
      <c r="D23" s="13">
        <f>-SUMIFS('Fluxo de Caixa'!J:J,'Fluxo de Caixa'!B:B,"Saídas",'Fluxo de Caixa'!H:H,"Pago",'Fluxo de Caixa'!A:A,"&gt;="&amp;Dashboard!B23,'Fluxo de Caixa'!A:A,"&lt;="&amp;EOMONTH(Dashboard!B23,0))</f>
        <v>-873</v>
      </c>
      <c r="E23" s="13">
        <f t="shared" si="0"/>
        <v>17242</v>
      </c>
      <c r="F23" s="14">
        <f t="shared" si="1"/>
        <v>17242</v>
      </c>
      <c r="G23" s="14">
        <f t="shared" si="3"/>
        <v>51481</v>
      </c>
      <c r="H23" s="10"/>
    </row>
    <row r="24" spans="2:8" x14ac:dyDescent="0.35">
      <c r="B24" s="25">
        <f t="shared" si="2"/>
        <v>44013</v>
      </c>
      <c r="C24" s="13">
        <f>SUMIFS('Fluxo de Caixa'!J:J,'Fluxo de Caixa'!B:B,"Entradas",'Fluxo de Caixa'!H:H,"Pago",'Fluxo de Caixa'!A:A,"&gt;="&amp;Dashboard!B24,'Fluxo de Caixa'!A:A,"&lt;="&amp;EOMONTH(Dashboard!B24,0))</f>
        <v>0</v>
      </c>
      <c r="D24" s="13">
        <f>-SUMIFS('Fluxo de Caixa'!J:J,'Fluxo de Caixa'!B:B,"Saídas",'Fluxo de Caixa'!H:H,"Pago",'Fluxo de Caixa'!A:A,"&gt;="&amp;Dashboard!B24,'Fluxo de Caixa'!A:A,"&lt;="&amp;EOMONTH(Dashboard!B24,0))</f>
        <v>0</v>
      </c>
      <c r="E24" s="13">
        <f t="shared" si="0"/>
        <v>0</v>
      </c>
      <c r="F24" s="14">
        <f t="shared" si="1"/>
        <v>0</v>
      </c>
      <c r="G24" s="14">
        <f t="shared" si="3"/>
        <v>51481</v>
      </c>
      <c r="H24" s="10"/>
    </row>
    <row r="25" spans="2:8" x14ac:dyDescent="0.35">
      <c r="B25" s="25">
        <f t="shared" si="2"/>
        <v>44044</v>
      </c>
      <c r="C25" s="13">
        <f>SUMIFS('Fluxo de Caixa'!J:J,'Fluxo de Caixa'!B:B,"Entradas",'Fluxo de Caixa'!H:H,"Pago",'Fluxo de Caixa'!A:A,"&gt;="&amp;Dashboard!B25,'Fluxo de Caixa'!A:A,"&lt;="&amp;EOMONTH(Dashboard!B25,0))</f>
        <v>0</v>
      </c>
      <c r="D25" s="13">
        <f>-SUMIFS('Fluxo de Caixa'!J:J,'Fluxo de Caixa'!B:B,"Saídas",'Fluxo de Caixa'!H:H,"Pago",'Fluxo de Caixa'!A:A,"&gt;="&amp;Dashboard!B25,'Fluxo de Caixa'!A:A,"&lt;="&amp;EOMONTH(Dashboard!B25,0))</f>
        <v>0</v>
      </c>
      <c r="E25" s="13">
        <f t="shared" si="0"/>
        <v>0</v>
      </c>
      <c r="F25" s="14">
        <f t="shared" si="1"/>
        <v>0</v>
      </c>
      <c r="G25" s="14">
        <f t="shared" si="3"/>
        <v>51481</v>
      </c>
    </row>
    <row r="26" spans="2:8" x14ac:dyDescent="0.35">
      <c r="B26" s="25">
        <f t="shared" si="2"/>
        <v>44075</v>
      </c>
      <c r="C26" s="13">
        <f>SUMIFS('Fluxo de Caixa'!J:J,'Fluxo de Caixa'!B:B,"Entradas",'Fluxo de Caixa'!H:H,"Pago",'Fluxo de Caixa'!A:A,"&gt;="&amp;Dashboard!B26,'Fluxo de Caixa'!A:A,"&lt;="&amp;EOMONTH(Dashboard!B26,0))</f>
        <v>0</v>
      </c>
      <c r="D26" s="13">
        <f>-SUMIFS('Fluxo de Caixa'!J:J,'Fluxo de Caixa'!B:B,"Saídas",'Fluxo de Caixa'!H:H,"Pago",'Fluxo de Caixa'!A:A,"&gt;="&amp;Dashboard!B26,'Fluxo de Caixa'!A:A,"&lt;="&amp;EOMONTH(Dashboard!B26,0))</f>
        <v>0</v>
      </c>
      <c r="E26" s="13">
        <f t="shared" si="0"/>
        <v>0</v>
      </c>
      <c r="F26" s="14">
        <f t="shared" si="1"/>
        <v>0</v>
      </c>
      <c r="G26" s="14">
        <f t="shared" si="3"/>
        <v>51481</v>
      </c>
    </row>
    <row r="27" spans="2:8" x14ac:dyDescent="0.35">
      <c r="B27" s="25">
        <f t="shared" si="2"/>
        <v>44105</v>
      </c>
      <c r="C27" s="13">
        <f>SUMIFS('Fluxo de Caixa'!J:J,'Fluxo de Caixa'!B:B,"Entradas",'Fluxo de Caixa'!H:H,"Pago",'Fluxo de Caixa'!A:A,"&gt;="&amp;Dashboard!B27,'Fluxo de Caixa'!A:A,"&lt;="&amp;EOMONTH(Dashboard!B27,0))</f>
        <v>0</v>
      </c>
      <c r="D27" s="13">
        <f>-SUMIFS('Fluxo de Caixa'!J:J,'Fluxo de Caixa'!B:B,"Saídas",'Fluxo de Caixa'!H:H,"Pago",'Fluxo de Caixa'!A:A,"&gt;="&amp;Dashboard!B27,'Fluxo de Caixa'!A:A,"&lt;="&amp;EOMONTH(Dashboard!B27,0))</f>
        <v>0</v>
      </c>
      <c r="E27" s="13">
        <f t="shared" si="0"/>
        <v>0</v>
      </c>
      <c r="F27" s="14">
        <f t="shared" si="1"/>
        <v>0</v>
      </c>
      <c r="G27" s="14">
        <f t="shared" si="3"/>
        <v>51481</v>
      </c>
    </row>
    <row r="28" spans="2:8" x14ac:dyDescent="0.35">
      <c r="B28" s="25">
        <f t="shared" si="2"/>
        <v>44136</v>
      </c>
      <c r="C28" s="13">
        <f>SUMIFS('Fluxo de Caixa'!J:J,'Fluxo de Caixa'!B:B,"Entradas",'Fluxo de Caixa'!H:H,"Pago",'Fluxo de Caixa'!A:A,"&gt;="&amp;Dashboard!B28,'Fluxo de Caixa'!A:A,"&lt;="&amp;EOMONTH(Dashboard!B28,0))</f>
        <v>0</v>
      </c>
      <c r="D28" s="13">
        <f>-SUMIFS('Fluxo de Caixa'!J:J,'Fluxo de Caixa'!B:B,"Saídas",'Fluxo de Caixa'!H:H,"Pago",'Fluxo de Caixa'!A:A,"&gt;="&amp;Dashboard!B28,'Fluxo de Caixa'!A:A,"&lt;="&amp;EOMONTH(Dashboard!B28,0))</f>
        <v>0</v>
      </c>
      <c r="E28" s="13">
        <f t="shared" si="0"/>
        <v>0</v>
      </c>
      <c r="F28" s="14">
        <f t="shared" si="1"/>
        <v>0</v>
      </c>
      <c r="G28" s="14">
        <f t="shared" si="3"/>
        <v>51481</v>
      </c>
    </row>
    <row r="29" spans="2:8" x14ac:dyDescent="0.35">
      <c r="B29" s="25">
        <f t="shared" si="2"/>
        <v>44166</v>
      </c>
      <c r="C29" s="13">
        <f>SUMIFS('Fluxo de Caixa'!J:J,'Fluxo de Caixa'!B:B,"Entradas",'Fluxo de Caixa'!H:H,"Pago",'Fluxo de Caixa'!A:A,"&gt;="&amp;Dashboard!B29,'Fluxo de Caixa'!A:A,"&lt;="&amp;EOMONTH(Dashboard!B29,0))</f>
        <v>0</v>
      </c>
      <c r="D29" s="13">
        <f>-SUMIFS('Fluxo de Caixa'!J:J,'Fluxo de Caixa'!B:B,"Saídas",'Fluxo de Caixa'!H:H,"Pago",'Fluxo de Caixa'!A:A,"&gt;="&amp;Dashboard!B29,'Fluxo de Caixa'!A:A,"&lt;="&amp;EOMONTH(Dashboard!B29,0))</f>
        <v>0</v>
      </c>
      <c r="E29" s="13">
        <f t="shared" si="0"/>
        <v>0</v>
      </c>
      <c r="F29" s="14">
        <f t="shared" si="1"/>
        <v>0</v>
      </c>
      <c r="G29" s="14">
        <f t="shared" si="3"/>
        <v>51481</v>
      </c>
    </row>
    <row r="30" spans="2:8" x14ac:dyDescent="0.35">
      <c r="B30" s="25">
        <f t="shared" si="2"/>
        <v>44197</v>
      </c>
      <c r="C30" s="13">
        <f>SUMIFS('Fluxo de Caixa'!J:J,'Fluxo de Caixa'!B:B,"Entradas",'Fluxo de Caixa'!H:H,"Pago",'Fluxo de Caixa'!A:A,"&gt;="&amp;Dashboard!B30,'Fluxo de Caixa'!A:A,"&lt;="&amp;EOMONTH(Dashboard!B30,0))</f>
        <v>0</v>
      </c>
      <c r="D30" s="13">
        <f>-SUMIFS('Fluxo de Caixa'!J:J,'Fluxo de Caixa'!B:B,"Saídas",'Fluxo de Caixa'!H:H,"Pago",'Fluxo de Caixa'!A:A,"&gt;="&amp;Dashboard!B30,'Fluxo de Caixa'!A:A,"&lt;="&amp;EOMONTH(Dashboard!B30,0))</f>
        <v>0</v>
      </c>
      <c r="E30" s="13">
        <f t="shared" si="0"/>
        <v>0</v>
      </c>
      <c r="F30" s="14">
        <f t="shared" si="1"/>
        <v>0</v>
      </c>
      <c r="G30" s="14">
        <f t="shared" si="3"/>
        <v>51481</v>
      </c>
    </row>
    <row r="31" spans="2:8" x14ac:dyDescent="0.35">
      <c r="B31" s="25">
        <f t="shared" si="2"/>
        <v>44228</v>
      </c>
      <c r="C31" s="13">
        <f>SUMIFS('Fluxo de Caixa'!J:J,'Fluxo de Caixa'!B:B,"Entradas",'Fluxo de Caixa'!H:H,"Pago",'Fluxo de Caixa'!A:A,"&gt;="&amp;Dashboard!B31,'Fluxo de Caixa'!A:A,"&lt;="&amp;EOMONTH(Dashboard!B31,0))</f>
        <v>0</v>
      </c>
      <c r="D31" s="13">
        <f>-SUMIFS('Fluxo de Caixa'!J:J,'Fluxo de Caixa'!B:B,"Saídas",'Fluxo de Caixa'!H:H,"Pago",'Fluxo de Caixa'!A:A,"&gt;="&amp;Dashboard!B31,'Fluxo de Caixa'!A:A,"&lt;="&amp;EOMONTH(Dashboard!B31,0))</f>
        <v>0</v>
      </c>
      <c r="E31" s="13">
        <f t="shared" si="0"/>
        <v>0</v>
      </c>
      <c r="F31" s="14">
        <f t="shared" si="1"/>
        <v>0</v>
      </c>
      <c r="G31" s="14">
        <f t="shared" si="3"/>
        <v>51481</v>
      </c>
    </row>
    <row r="32" spans="2:8" x14ac:dyDescent="0.35">
      <c r="B32" s="25">
        <f t="shared" si="2"/>
        <v>44256</v>
      </c>
      <c r="C32" s="13">
        <f>SUMIFS('Fluxo de Caixa'!J:J,'Fluxo de Caixa'!B:B,"Entradas",'Fluxo de Caixa'!H:H,"Pago",'Fluxo de Caixa'!A:A,"&gt;="&amp;Dashboard!B32,'Fluxo de Caixa'!A:A,"&lt;="&amp;EOMONTH(Dashboard!B32,0))</f>
        <v>0</v>
      </c>
      <c r="D32" s="13">
        <f>-SUMIFS('Fluxo de Caixa'!J:J,'Fluxo de Caixa'!B:B,"Saídas",'Fluxo de Caixa'!H:H,"Pago",'Fluxo de Caixa'!A:A,"&gt;="&amp;Dashboard!B32,'Fluxo de Caixa'!A:A,"&lt;="&amp;EOMONTH(Dashboard!B32,0))</f>
        <v>0</v>
      </c>
      <c r="E32" s="13">
        <f t="shared" si="0"/>
        <v>0</v>
      </c>
      <c r="F32" s="14">
        <f t="shared" si="1"/>
        <v>0</v>
      </c>
      <c r="G32" s="14">
        <f t="shared" si="3"/>
        <v>51481</v>
      </c>
    </row>
    <row r="33" spans="2:20" x14ac:dyDescent="0.35">
      <c r="B33" s="25">
        <f t="shared" si="2"/>
        <v>44287</v>
      </c>
      <c r="C33" s="13">
        <f>SUMIFS('Fluxo de Caixa'!J:J,'Fluxo de Caixa'!B:B,"Entradas",'Fluxo de Caixa'!H:H,"Pago",'Fluxo de Caixa'!A:A,"&gt;="&amp;Dashboard!B33,'Fluxo de Caixa'!A:A,"&lt;="&amp;EOMONTH(Dashboard!B33,0))</f>
        <v>0</v>
      </c>
      <c r="D33" s="13">
        <f>-SUMIFS('Fluxo de Caixa'!J:J,'Fluxo de Caixa'!B:B,"Saídas",'Fluxo de Caixa'!H:H,"Pago",'Fluxo de Caixa'!A:A,"&gt;="&amp;Dashboard!B33,'Fluxo de Caixa'!A:A,"&lt;="&amp;EOMONTH(Dashboard!B33,0))</f>
        <v>0</v>
      </c>
      <c r="E33" s="13">
        <f t="shared" si="0"/>
        <v>0</v>
      </c>
      <c r="F33" s="14">
        <f t="shared" si="1"/>
        <v>0</v>
      </c>
      <c r="G33" s="14">
        <f t="shared" si="3"/>
        <v>51481</v>
      </c>
    </row>
    <row r="34" spans="2:20" x14ac:dyDescent="0.35">
      <c r="B34" s="25">
        <f t="shared" si="2"/>
        <v>44317</v>
      </c>
      <c r="C34" s="13">
        <f>SUMIFS('Fluxo de Caixa'!J:J,'Fluxo de Caixa'!B:B,"Entradas",'Fluxo de Caixa'!H:H,"Pago",'Fluxo de Caixa'!A:A,"&gt;="&amp;Dashboard!B34,'Fluxo de Caixa'!A:A,"&lt;="&amp;EOMONTH(Dashboard!B34,0))</f>
        <v>0</v>
      </c>
      <c r="D34" s="13">
        <f>-SUMIFS('Fluxo de Caixa'!J:J,'Fluxo de Caixa'!B:B,"Saídas",'Fluxo de Caixa'!H:H,"Pago",'Fluxo de Caixa'!A:A,"&gt;="&amp;Dashboard!B34,'Fluxo de Caixa'!A:A,"&lt;="&amp;EOMONTH(Dashboard!B34,0))</f>
        <v>0</v>
      </c>
      <c r="E34" s="13">
        <f t="shared" si="0"/>
        <v>0</v>
      </c>
      <c r="F34" s="14">
        <f t="shared" si="1"/>
        <v>0</v>
      </c>
      <c r="G34" s="14">
        <f t="shared" si="3"/>
        <v>51481</v>
      </c>
    </row>
    <row r="35" spans="2:20" x14ac:dyDescent="0.35">
      <c r="B35" s="25">
        <f t="shared" si="2"/>
        <v>44348</v>
      </c>
      <c r="C35" s="13">
        <f>SUMIFS('Fluxo de Caixa'!J:J,'Fluxo de Caixa'!B:B,"Entradas",'Fluxo de Caixa'!H:H,"Pago",'Fluxo de Caixa'!A:A,"&gt;="&amp;Dashboard!B35,'Fluxo de Caixa'!A:A,"&lt;="&amp;EOMONTH(Dashboard!B35,0))</f>
        <v>0</v>
      </c>
      <c r="D35" s="13">
        <f>-SUMIFS('Fluxo de Caixa'!J:J,'Fluxo de Caixa'!B:B,"Saídas",'Fluxo de Caixa'!H:H,"Pago",'Fluxo de Caixa'!A:A,"&gt;="&amp;Dashboard!B35,'Fluxo de Caixa'!A:A,"&lt;="&amp;EOMONTH(Dashboard!B35,0))</f>
        <v>0</v>
      </c>
      <c r="E35" s="13">
        <f t="shared" si="0"/>
        <v>0</v>
      </c>
      <c r="F35" s="14">
        <f t="shared" si="1"/>
        <v>0</v>
      </c>
      <c r="G35" s="14">
        <f t="shared" si="3"/>
        <v>51481</v>
      </c>
    </row>
    <row r="36" spans="2:20" x14ac:dyDescent="0.35">
      <c r="B36" s="25">
        <f t="shared" si="2"/>
        <v>44378</v>
      </c>
      <c r="C36" s="13">
        <f>SUMIFS('Fluxo de Caixa'!J:J,'Fluxo de Caixa'!B:B,"Entradas",'Fluxo de Caixa'!H:H,"Pago",'Fluxo de Caixa'!A:A,"&gt;="&amp;Dashboard!B36,'Fluxo de Caixa'!A:A,"&lt;="&amp;EOMONTH(Dashboard!B36,0))</f>
        <v>0</v>
      </c>
      <c r="D36" s="13">
        <f>-SUMIFS('Fluxo de Caixa'!J:J,'Fluxo de Caixa'!B:B,"Saídas",'Fluxo de Caixa'!H:H,"Pago",'Fluxo de Caixa'!A:A,"&gt;="&amp;Dashboard!B36,'Fluxo de Caixa'!A:A,"&lt;="&amp;EOMONTH(Dashboard!B36,0))</f>
        <v>0</v>
      </c>
      <c r="E36" s="13">
        <f t="shared" si="0"/>
        <v>0</v>
      </c>
      <c r="F36" s="14">
        <f t="shared" si="1"/>
        <v>0</v>
      </c>
      <c r="G36" s="14">
        <f t="shared" si="3"/>
        <v>51481</v>
      </c>
    </row>
    <row r="37" spans="2:20" x14ac:dyDescent="0.35">
      <c r="B37" s="25">
        <f t="shared" si="2"/>
        <v>44409</v>
      </c>
      <c r="C37" s="13">
        <f>SUMIFS('Fluxo de Caixa'!J:J,'Fluxo de Caixa'!B:B,"Entradas",'Fluxo de Caixa'!H:H,"Pago",'Fluxo de Caixa'!A:A,"&gt;="&amp;Dashboard!B37,'Fluxo de Caixa'!A:A,"&lt;="&amp;EOMONTH(Dashboard!B37,0))</f>
        <v>0</v>
      </c>
      <c r="D37" s="13">
        <f>-SUMIFS('Fluxo de Caixa'!J:J,'Fluxo de Caixa'!B:B,"Saídas",'Fluxo de Caixa'!H:H,"Pago",'Fluxo de Caixa'!A:A,"&gt;="&amp;Dashboard!B37,'Fluxo de Caixa'!A:A,"&lt;="&amp;EOMONTH(Dashboard!B37,0))</f>
        <v>0</v>
      </c>
      <c r="E37" s="13">
        <f t="shared" si="0"/>
        <v>0</v>
      </c>
      <c r="F37" s="14">
        <f t="shared" si="1"/>
        <v>0</v>
      </c>
      <c r="G37" s="14">
        <f t="shared" si="3"/>
        <v>51481</v>
      </c>
    </row>
    <row r="38" spans="2:20" x14ac:dyDescent="0.35">
      <c r="B38" s="25">
        <f t="shared" si="2"/>
        <v>44440</v>
      </c>
      <c r="C38" s="13">
        <f>SUMIFS('Fluxo de Caixa'!J:J,'Fluxo de Caixa'!B:B,"Entradas",'Fluxo de Caixa'!H:H,"Pago",'Fluxo de Caixa'!A:A,"&gt;="&amp;Dashboard!B38,'Fluxo de Caixa'!A:A,"&lt;="&amp;EOMONTH(Dashboard!B38,0))</f>
        <v>0</v>
      </c>
      <c r="D38" s="13">
        <f>-SUMIFS('Fluxo de Caixa'!J:J,'Fluxo de Caixa'!B:B,"Saídas",'Fluxo de Caixa'!H:H,"Pago",'Fluxo de Caixa'!A:A,"&gt;="&amp;Dashboard!B38,'Fluxo de Caixa'!A:A,"&lt;="&amp;EOMONTH(Dashboard!B38,0))</f>
        <v>0</v>
      </c>
      <c r="E38" s="13">
        <f t="shared" si="0"/>
        <v>0</v>
      </c>
      <c r="F38" s="14">
        <f t="shared" si="1"/>
        <v>0</v>
      </c>
      <c r="G38" s="14">
        <f t="shared" si="3"/>
        <v>51481</v>
      </c>
    </row>
    <row r="39" spans="2:20" x14ac:dyDescent="0.35">
      <c r="B39" s="25">
        <f t="shared" si="2"/>
        <v>44470</v>
      </c>
      <c r="C39" s="13">
        <f>SUMIFS('Fluxo de Caixa'!J:J,'Fluxo de Caixa'!B:B,"Entradas",'Fluxo de Caixa'!H:H,"Pago",'Fluxo de Caixa'!A:A,"&gt;="&amp;Dashboard!B39,'Fluxo de Caixa'!A:A,"&lt;="&amp;EOMONTH(Dashboard!B39,0))</f>
        <v>0</v>
      </c>
      <c r="D39" s="13">
        <f>-SUMIFS('Fluxo de Caixa'!J:J,'Fluxo de Caixa'!B:B,"Saídas",'Fluxo de Caixa'!H:H,"Pago",'Fluxo de Caixa'!A:A,"&gt;="&amp;Dashboard!B39,'Fluxo de Caixa'!A:A,"&lt;="&amp;EOMONTH(Dashboard!B39,0))</f>
        <v>0</v>
      </c>
      <c r="E39" s="13">
        <f t="shared" si="0"/>
        <v>0</v>
      </c>
      <c r="F39" s="14">
        <f t="shared" si="1"/>
        <v>0</v>
      </c>
      <c r="G39" s="14">
        <f t="shared" si="3"/>
        <v>51481</v>
      </c>
    </row>
    <row r="40" spans="2:20" x14ac:dyDescent="0.35">
      <c r="B40" s="25">
        <f t="shared" si="2"/>
        <v>44501</v>
      </c>
      <c r="C40" s="13">
        <f>SUMIFS('Fluxo de Caixa'!J:J,'Fluxo de Caixa'!B:B,"Entradas",'Fluxo de Caixa'!H:H,"Pago",'Fluxo de Caixa'!A:A,"&gt;="&amp;Dashboard!B40,'Fluxo de Caixa'!A:A,"&lt;="&amp;EOMONTH(Dashboard!B40,0))</f>
        <v>0</v>
      </c>
      <c r="D40" s="13">
        <f>-SUMIFS('Fluxo de Caixa'!J:J,'Fluxo de Caixa'!B:B,"Saídas",'Fluxo de Caixa'!H:H,"Pago",'Fluxo de Caixa'!A:A,"&gt;="&amp;Dashboard!B40,'Fluxo de Caixa'!A:A,"&lt;="&amp;EOMONTH(Dashboard!B40,0))</f>
        <v>0</v>
      </c>
      <c r="E40" s="13">
        <f t="shared" si="0"/>
        <v>0</v>
      </c>
      <c r="F40" s="14">
        <f t="shared" si="1"/>
        <v>0</v>
      </c>
      <c r="G40" s="14">
        <f t="shared" si="3"/>
        <v>51481</v>
      </c>
    </row>
    <row r="41" spans="2:20" x14ac:dyDescent="0.35">
      <c r="B41" s="25">
        <f t="shared" si="2"/>
        <v>44531</v>
      </c>
      <c r="C41" s="13">
        <f>SUMIFS('Fluxo de Caixa'!J:J,'Fluxo de Caixa'!B:B,"Entradas",'Fluxo de Caixa'!H:H,"Pago",'Fluxo de Caixa'!A:A,"&gt;="&amp;Dashboard!B41,'Fluxo de Caixa'!A:A,"&lt;="&amp;EOMONTH(Dashboard!B41,0))</f>
        <v>0</v>
      </c>
      <c r="D41" s="13">
        <f>-SUMIFS('Fluxo de Caixa'!J:J,'Fluxo de Caixa'!B:B,"Saídas",'Fluxo de Caixa'!H:H,"Pago",'Fluxo de Caixa'!A:A,"&gt;="&amp;Dashboard!B41,'Fluxo de Caixa'!A:A,"&lt;="&amp;EOMONTH(Dashboard!B41,0))</f>
        <v>0</v>
      </c>
      <c r="E41" s="13">
        <f t="shared" si="0"/>
        <v>0</v>
      </c>
      <c r="F41" s="14">
        <f t="shared" si="1"/>
        <v>0</v>
      </c>
      <c r="G41" s="14">
        <f t="shared" si="3"/>
        <v>51481</v>
      </c>
    </row>
    <row r="42" spans="2:20" x14ac:dyDescent="0.35">
      <c r="B42" s="25">
        <f t="shared" si="2"/>
        <v>44562</v>
      </c>
      <c r="C42" s="13">
        <f>SUMIFS('Fluxo de Caixa'!J:J,'Fluxo de Caixa'!B:B,"Entradas",'Fluxo de Caixa'!H:H,"Pago",'Fluxo de Caixa'!A:A,"&gt;="&amp;Dashboard!B42,'Fluxo de Caixa'!A:A,"&lt;="&amp;EOMONTH(Dashboard!B42,0))</f>
        <v>0</v>
      </c>
      <c r="D42" s="13">
        <f>-SUMIFS('Fluxo de Caixa'!J:J,'Fluxo de Caixa'!B:B,"Saídas",'Fluxo de Caixa'!H:H,"Pago",'Fluxo de Caixa'!A:A,"&gt;="&amp;Dashboard!B42,'Fluxo de Caixa'!A:A,"&lt;="&amp;EOMONTH(Dashboard!B42,0))</f>
        <v>0</v>
      </c>
      <c r="E42" s="13">
        <f t="shared" si="0"/>
        <v>0</v>
      </c>
      <c r="F42" s="14">
        <f t="shared" si="1"/>
        <v>0</v>
      </c>
      <c r="G42" s="14">
        <f t="shared" si="3"/>
        <v>51481</v>
      </c>
    </row>
    <row r="43" spans="2:20" x14ac:dyDescent="0.35">
      <c r="B43" s="25">
        <f t="shared" si="2"/>
        <v>44593</v>
      </c>
      <c r="C43" s="13">
        <f>SUMIFS('Fluxo de Caixa'!J:J,'Fluxo de Caixa'!B:B,"Entradas",'Fluxo de Caixa'!H:H,"Pago",'Fluxo de Caixa'!A:A,"&gt;="&amp;Dashboard!B43,'Fluxo de Caixa'!A:A,"&lt;="&amp;EOMONTH(Dashboard!B43,0))</f>
        <v>0</v>
      </c>
      <c r="D43" s="13">
        <f>-SUMIFS('Fluxo de Caixa'!J:J,'Fluxo de Caixa'!B:B,"Saídas",'Fluxo de Caixa'!H:H,"Pago",'Fluxo de Caixa'!A:A,"&gt;="&amp;Dashboard!B43,'Fluxo de Caixa'!A:A,"&lt;="&amp;EOMONTH(Dashboard!B43,0))</f>
        <v>0</v>
      </c>
      <c r="E43" s="13">
        <f t="shared" si="0"/>
        <v>0</v>
      </c>
      <c r="F43" s="14">
        <f t="shared" si="1"/>
        <v>0</v>
      </c>
      <c r="G43" s="14">
        <f t="shared" si="3"/>
        <v>51481</v>
      </c>
    </row>
    <row r="44" spans="2:20" x14ac:dyDescent="0.35">
      <c r="B44" s="25">
        <f t="shared" si="2"/>
        <v>44621</v>
      </c>
      <c r="C44" s="13">
        <f>SUMIFS('Fluxo de Caixa'!J:J,'Fluxo de Caixa'!B:B,"Entradas",'Fluxo de Caixa'!H:H,"Pago",'Fluxo de Caixa'!A:A,"&gt;="&amp;Dashboard!B44,'Fluxo de Caixa'!A:A,"&lt;="&amp;EOMONTH(Dashboard!B44,0))</f>
        <v>0</v>
      </c>
      <c r="D44" s="13">
        <f>-SUMIFS('Fluxo de Caixa'!J:J,'Fluxo de Caixa'!B:B,"Saídas",'Fluxo de Caixa'!H:H,"Pago",'Fluxo de Caixa'!A:A,"&gt;="&amp;Dashboard!B44,'Fluxo de Caixa'!A:A,"&lt;="&amp;EOMONTH(Dashboard!B44,0))</f>
        <v>0</v>
      </c>
      <c r="E44" s="13">
        <f t="shared" si="0"/>
        <v>0</v>
      </c>
      <c r="F44" s="14">
        <f t="shared" si="1"/>
        <v>0</v>
      </c>
      <c r="G44" s="14">
        <f t="shared" si="3"/>
        <v>51481</v>
      </c>
      <c r="K44" s="16"/>
    </row>
    <row r="45" spans="2:20" x14ac:dyDescent="0.35">
      <c r="B45" s="25">
        <f t="shared" si="2"/>
        <v>44652</v>
      </c>
      <c r="C45" s="13">
        <f>SUMIFS('Fluxo de Caixa'!J:J,'Fluxo de Caixa'!B:B,"Entradas",'Fluxo de Caixa'!H:H,"Pago",'Fluxo de Caixa'!A:A,"&gt;="&amp;Dashboard!B45,'Fluxo de Caixa'!A:A,"&lt;="&amp;EOMONTH(Dashboard!B45,0))</f>
        <v>0</v>
      </c>
      <c r="D45" s="13">
        <f>-SUMIFS('Fluxo de Caixa'!J:J,'Fluxo de Caixa'!B:B,"Saídas",'Fluxo de Caixa'!H:H,"Pago",'Fluxo de Caixa'!A:A,"&gt;="&amp;Dashboard!B45,'Fluxo de Caixa'!A:A,"&lt;="&amp;EOMONTH(Dashboard!B45,0))</f>
        <v>0</v>
      </c>
      <c r="E45" s="13">
        <f t="shared" si="0"/>
        <v>0</v>
      </c>
      <c r="F45" s="14">
        <f t="shared" si="1"/>
        <v>0</v>
      </c>
      <c r="G45" s="14">
        <f t="shared" si="3"/>
        <v>51481</v>
      </c>
      <c r="K45" s="16"/>
    </row>
    <row r="46" spans="2:20" x14ac:dyDescent="0.35">
      <c r="B46" s="25">
        <f t="shared" si="2"/>
        <v>44682</v>
      </c>
      <c r="C46" s="13">
        <f>SUMIFS('Fluxo de Caixa'!J:J,'Fluxo de Caixa'!B:B,"Entradas",'Fluxo de Caixa'!H:H,"Pago",'Fluxo de Caixa'!A:A,"&gt;="&amp;Dashboard!B46,'Fluxo de Caixa'!A:A,"&lt;="&amp;EOMONTH(Dashboard!B46,0))</f>
        <v>0</v>
      </c>
      <c r="D46" s="13">
        <f>-SUMIFS('Fluxo de Caixa'!J:J,'Fluxo de Caixa'!B:B,"Saídas",'Fluxo de Caixa'!H:H,"Pago",'Fluxo de Caixa'!A:A,"&gt;="&amp;Dashboard!B46,'Fluxo de Caixa'!A:A,"&lt;="&amp;EOMONTH(Dashboard!B46,0))</f>
        <v>0</v>
      </c>
      <c r="E46" s="13">
        <f t="shared" si="0"/>
        <v>0</v>
      </c>
      <c r="F46" s="14">
        <f t="shared" si="1"/>
        <v>0</v>
      </c>
      <c r="G46" s="14">
        <f t="shared" si="3"/>
        <v>51481</v>
      </c>
      <c r="K46" s="16"/>
    </row>
    <row r="47" spans="2:20" x14ac:dyDescent="0.35">
      <c r="B47" s="25">
        <f t="shared" si="2"/>
        <v>44713</v>
      </c>
      <c r="C47" s="13">
        <f>SUMIFS('Fluxo de Caixa'!J:J,'Fluxo de Caixa'!B:B,"Entradas",'Fluxo de Caixa'!H:H,"Pago",'Fluxo de Caixa'!A:A,"&gt;="&amp;Dashboard!B47,'Fluxo de Caixa'!A:A,"&lt;="&amp;EOMONTH(Dashboard!B47,0))</f>
        <v>0</v>
      </c>
      <c r="D47" s="13">
        <f>-SUMIFS('Fluxo de Caixa'!J:J,'Fluxo de Caixa'!B:B,"Saídas",'Fluxo de Caixa'!H:H,"Pago",'Fluxo de Caixa'!A:A,"&gt;="&amp;Dashboard!B47,'Fluxo de Caixa'!A:A,"&lt;="&amp;EOMONTH(Dashboard!B47,0))</f>
        <v>0</v>
      </c>
      <c r="E47" s="13">
        <f t="shared" si="0"/>
        <v>0</v>
      </c>
      <c r="F47" s="14">
        <f t="shared" si="1"/>
        <v>0</v>
      </c>
      <c r="G47" s="14">
        <f t="shared" si="3"/>
        <v>51481</v>
      </c>
      <c r="K47" s="16"/>
      <c r="S47" s="1"/>
      <c r="T47" s="11"/>
    </row>
    <row r="48" spans="2:20" x14ac:dyDescent="0.35">
      <c r="B48" s="25">
        <f t="shared" si="2"/>
        <v>44743</v>
      </c>
      <c r="C48" s="13">
        <f>SUMIFS('Fluxo de Caixa'!J:J,'Fluxo de Caixa'!B:B,"Entradas",'Fluxo de Caixa'!H:H,"Pago",'Fluxo de Caixa'!A:A,"&gt;="&amp;Dashboard!B48,'Fluxo de Caixa'!A:A,"&lt;="&amp;EOMONTH(Dashboard!B48,0))</f>
        <v>0</v>
      </c>
      <c r="D48" s="13">
        <f>-SUMIFS('Fluxo de Caixa'!J:J,'Fluxo de Caixa'!B:B,"Saídas",'Fluxo de Caixa'!H:H,"Pago",'Fluxo de Caixa'!A:A,"&gt;="&amp;Dashboard!B48,'Fluxo de Caixa'!A:A,"&lt;="&amp;EOMONTH(Dashboard!B48,0))</f>
        <v>0</v>
      </c>
      <c r="E48" s="13">
        <f t="shared" si="0"/>
        <v>0</v>
      </c>
      <c r="F48" s="14">
        <f t="shared" si="1"/>
        <v>0</v>
      </c>
      <c r="G48" s="14">
        <f t="shared" si="3"/>
        <v>51481</v>
      </c>
      <c r="K48" s="16"/>
      <c r="S48" s="1"/>
      <c r="T48" s="11"/>
    </row>
    <row r="49" spans="2:20" x14ac:dyDescent="0.35">
      <c r="B49" s="25">
        <f t="shared" si="2"/>
        <v>44774</v>
      </c>
      <c r="C49" s="13">
        <f>SUMIFS('Fluxo de Caixa'!J:J,'Fluxo de Caixa'!B:B,"Entradas",'Fluxo de Caixa'!H:H,"Pago",'Fluxo de Caixa'!A:A,"&gt;="&amp;Dashboard!B49,'Fluxo de Caixa'!A:A,"&lt;="&amp;EOMONTH(Dashboard!B49,0))</f>
        <v>0</v>
      </c>
      <c r="D49" s="13">
        <f>-SUMIFS('Fluxo de Caixa'!J:J,'Fluxo de Caixa'!B:B,"Saídas",'Fluxo de Caixa'!H:H,"Pago",'Fluxo de Caixa'!A:A,"&gt;="&amp;Dashboard!B49,'Fluxo de Caixa'!A:A,"&lt;="&amp;EOMONTH(Dashboard!B49,0))</f>
        <v>0</v>
      </c>
      <c r="E49" s="13">
        <f t="shared" si="0"/>
        <v>0</v>
      </c>
      <c r="F49" s="14">
        <f t="shared" si="1"/>
        <v>0</v>
      </c>
      <c r="G49" s="14">
        <f t="shared" si="3"/>
        <v>51481</v>
      </c>
      <c r="K49" s="16"/>
      <c r="O49" s="1"/>
      <c r="S49" s="1"/>
      <c r="T49" s="11"/>
    </row>
    <row r="50" spans="2:20" x14ac:dyDescent="0.35">
      <c r="B50" s="25">
        <f t="shared" si="2"/>
        <v>44805</v>
      </c>
      <c r="C50" s="13">
        <f>SUMIFS('Fluxo de Caixa'!J:J,'Fluxo de Caixa'!B:B,"Entradas",'Fluxo de Caixa'!H:H,"Pago",'Fluxo de Caixa'!A:A,"&gt;="&amp;Dashboard!B50,'Fluxo de Caixa'!A:A,"&lt;="&amp;EOMONTH(Dashboard!B50,0))</f>
        <v>0</v>
      </c>
      <c r="D50" s="13">
        <f>-SUMIFS('Fluxo de Caixa'!J:J,'Fluxo de Caixa'!B:B,"Saídas",'Fluxo de Caixa'!H:H,"Pago",'Fluxo de Caixa'!A:A,"&gt;="&amp;Dashboard!B50,'Fluxo de Caixa'!A:A,"&lt;="&amp;EOMONTH(Dashboard!B50,0))</f>
        <v>0</v>
      </c>
      <c r="E50" s="13">
        <f t="shared" si="0"/>
        <v>0</v>
      </c>
      <c r="F50" s="14">
        <f t="shared" si="1"/>
        <v>0</v>
      </c>
      <c r="G50" s="14">
        <f t="shared" si="3"/>
        <v>51481</v>
      </c>
      <c r="K50" s="16"/>
      <c r="S50" s="1"/>
      <c r="T50" s="11"/>
    </row>
    <row r="51" spans="2:20" x14ac:dyDescent="0.35">
      <c r="B51" s="25">
        <f t="shared" si="2"/>
        <v>44835</v>
      </c>
      <c r="C51" s="13">
        <f>SUMIFS('Fluxo de Caixa'!J:J,'Fluxo de Caixa'!B:B,"Entradas",'Fluxo de Caixa'!H:H,"Pago",'Fluxo de Caixa'!A:A,"&gt;="&amp;Dashboard!B51,'Fluxo de Caixa'!A:A,"&lt;="&amp;EOMONTH(Dashboard!B51,0))</f>
        <v>0</v>
      </c>
      <c r="D51" s="13">
        <f>-SUMIFS('Fluxo de Caixa'!J:J,'Fluxo de Caixa'!B:B,"Saídas",'Fluxo de Caixa'!H:H,"Pago",'Fluxo de Caixa'!A:A,"&gt;="&amp;Dashboard!B51,'Fluxo de Caixa'!A:A,"&lt;="&amp;EOMONTH(Dashboard!B51,0))</f>
        <v>0</v>
      </c>
      <c r="E51" s="13">
        <f t="shared" si="0"/>
        <v>0</v>
      </c>
      <c r="F51" s="14">
        <f t="shared" si="1"/>
        <v>0</v>
      </c>
      <c r="G51" s="14">
        <f t="shared" si="3"/>
        <v>51481</v>
      </c>
      <c r="K51" s="16"/>
      <c r="S51" s="1"/>
      <c r="T51" s="11"/>
    </row>
    <row r="52" spans="2:20" x14ac:dyDescent="0.35">
      <c r="B52" s="25">
        <f t="shared" si="2"/>
        <v>44866</v>
      </c>
      <c r="C52" s="13">
        <f>SUMIFS('Fluxo de Caixa'!J:J,'Fluxo de Caixa'!B:B,"Entradas",'Fluxo de Caixa'!H:H,"Pago",'Fluxo de Caixa'!A:A,"&gt;="&amp;Dashboard!B52,'Fluxo de Caixa'!A:A,"&lt;="&amp;EOMONTH(Dashboard!B52,0))</f>
        <v>0</v>
      </c>
      <c r="D52" s="13">
        <f>-SUMIFS('Fluxo de Caixa'!J:J,'Fluxo de Caixa'!B:B,"Saídas",'Fluxo de Caixa'!H:H,"Pago",'Fluxo de Caixa'!A:A,"&gt;="&amp;Dashboard!B52,'Fluxo de Caixa'!A:A,"&lt;="&amp;EOMONTH(Dashboard!B52,0))</f>
        <v>0</v>
      </c>
      <c r="E52" s="13">
        <f t="shared" si="0"/>
        <v>0</v>
      </c>
      <c r="F52" s="14">
        <f t="shared" si="1"/>
        <v>0</v>
      </c>
      <c r="G52" s="14">
        <f t="shared" si="3"/>
        <v>51481</v>
      </c>
      <c r="K52" s="16"/>
      <c r="S52" s="1"/>
      <c r="T52" s="11"/>
    </row>
    <row r="53" spans="2:20" x14ac:dyDescent="0.35">
      <c r="B53" s="25">
        <f t="shared" si="2"/>
        <v>44896</v>
      </c>
      <c r="C53" s="13">
        <f>SUMIFS('Fluxo de Caixa'!J:J,'Fluxo de Caixa'!B:B,"Entradas",'Fluxo de Caixa'!H:H,"Pago",'Fluxo de Caixa'!A:A,"&gt;="&amp;Dashboard!B53,'Fluxo de Caixa'!A:A,"&lt;="&amp;EOMONTH(Dashboard!B53,0))</f>
        <v>0</v>
      </c>
      <c r="D53" s="13">
        <f>-SUMIFS('Fluxo de Caixa'!J:J,'Fluxo de Caixa'!B:B,"Saídas",'Fluxo de Caixa'!H:H,"Pago",'Fluxo de Caixa'!A:A,"&gt;="&amp;Dashboard!B53,'Fluxo de Caixa'!A:A,"&lt;="&amp;EOMONTH(Dashboard!B53,0))</f>
        <v>0</v>
      </c>
      <c r="E53" s="13">
        <f t="shared" si="0"/>
        <v>0</v>
      </c>
      <c r="F53" s="14">
        <f t="shared" si="1"/>
        <v>0</v>
      </c>
      <c r="G53" s="14">
        <f t="shared" si="3"/>
        <v>51481</v>
      </c>
      <c r="K53" s="16"/>
      <c r="S53" s="1"/>
      <c r="T53" s="11"/>
    </row>
    <row r="54" spans="2:20" x14ac:dyDescent="0.35">
      <c r="B54" s="25">
        <f t="shared" si="2"/>
        <v>44927</v>
      </c>
      <c r="C54" s="13">
        <f>SUMIFS('Fluxo de Caixa'!J:J,'Fluxo de Caixa'!B:B,"Entradas",'Fluxo de Caixa'!H:H,"Pago",'Fluxo de Caixa'!A:A,"&gt;="&amp;Dashboard!B54,'Fluxo de Caixa'!A:A,"&lt;="&amp;EOMONTH(Dashboard!B54,0))</f>
        <v>0</v>
      </c>
      <c r="D54" s="13">
        <f>-SUMIFS('Fluxo de Caixa'!J:J,'Fluxo de Caixa'!B:B,"Saídas",'Fluxo de Caixa'!H:H,"Pago",'Fluxo de Caixa'!A:A,"&gt;="&amp;Dashboard!B54,'Fluxo de Caixa'!A:A,"&lt;="&amp;EOMONTH(Dashboard!B54,0))</f>
        <v>0</v>
      </c>
      <c r="E54" s="13">
        <f t="shared" si="0"/>
        <v>0</v>
      </c>
      <c r="F54" s="14">
        <f t="shared" si="1"/>
        <v>0</v>
      </c>
      <c r="G54" s="14">
        <f t="shared" si="3"/>
        <v>51481</v>
      </c>
      <c r="K54" s="16"/>
      <c r="S54" s="1"/>
      <c r="T54" s="11"/>
    </row>
    <row r="55" spans="2:20" x14ac:dyDescent="0.35">
      <c r="B55" s="25">
        <f t="shared" si="2"/>
        <v>44958</v>
      </c>
      <c r="C55" s="13">
        <f>SUMIFS('Fluxo de Caixa'!J:J,'Fluxo de Caixa'!B:B,"Entradas",'Fluxo de Caixa'!H:H,"Pago",'Fluxo de Caixa'!A:A,"&gt;="&amp;Dashboard!B55,'Fluxo de Caixa'!A:A,"&lt;="&amp;EOMONTH(Dashboard!B55,0))</f>
        <v>0</v>
      </c>
      <c r="D55" s="13">
        <f>-SUMIFS('Fluxo de Caixa'!J:J,'Fluxo de Caixa'!B:B,"Saídas",'Fluxo de Caixa'!H:H,"Pago",'Fluxo de Caixa'!A:A,"&gt;="&amp;Dashboard!B55,'Fluxo de Caixa'!A:A,"&lt;="&amp;EOMONTH(Dashboard!B55,0))</f>
        <v>0</v>
      </c>
      <c r="E55" s="13">
        <f t="shared" si="0"/>
        <v>0</v>
      </c>
      <c r="F55" s="14">
        <f t="shared" si="1"/>
        <v>0</v>
      </c>
      <c r="G55" s="14">
        <f t="shared" si="3"/>
        <v>51481</v>
      </c>
      <c r="K55" s="16"/>
      <c r="S55" s="1"/>
      <c r="T55" s="11"/>
    </row>
    <row r="56" spans="2:20" x14ac:dyDescent="0.35">
      <c r="B56" s="25">
        <f t="shared" si="2"/>
        <v>44986</v>
      </c>
      <c r="C56" s="13">
        <f>SUMIFS('Fluxo de Caixa'!J:J,'Fluxo de Caixa'!B:B,"Entradas",'Fluxo de Caixa'!H:H,"Pago",'Fluxo de Caixa'!A:A,"&gt;="&amp;Dashboard!B56,'Fluxo de Caixa'!A:A,"&lt;="&amp;EOMONTH(Dashboard!B56,0))</f>
        <v>0</v>
      </c>
      <c r="D56" s="13">
        <f>-SUMIFS('Fluxo de Caixa'!J:J,'Fluxo de Caixa'!B:B,"Saídas",'Fluxo de Caixa'!H:H,"Pago",'Fluxo de Caixa'!A:A,"&gt;="&amp;Dashboard!B56,'Fluxo de Caixa'!A:A,"&lt;="&amp;EOMONTH(Dashboard!B56,0))</f>
        <v>0</v>
      </c>
      <c r="E56" s="13">
        <f t="shared" si="0"/>
        <v>0</v>
      </c>
      <c r="F56" s="14">
        <f t="shared" si="1"/>
        <v>0</v>
      </c>
      <c r="G56" s="14">
        <f t="shared" si="3"/>
        <v>51481</v>
      </c>
      <c r="K56" s="16"/>
      <c r="S56" s="1"/>
      <c r="T56" s="11"/>
    </row>
    <row r="57" spans="2:20" x14ac:dyDescent="0.35">
      <c r="B57" s="25">
        <f t="shared" si="2"/>
        <v>45017</v>
      </c>
      <c r="C57" s="13">
        <f>SUMIFS('Fluxo de Caixa'!J:J,'Fluxo de Caixa'!B:B,"Entradas",'Fluxo de Caixa'!H:H,"Pago",'Fluxo de Caixa'!A:A,"&gt;="&amp;Dashboard!B57,'Fluxo de Caixa'!A:A,"&lt;="&amp;EOMONTH(Dashboard!B57,0))</f>
        <v>0</v>
      </c>
      <c r="D57" s="13">
        <f>-SUMIFS('Fluxo de Caixa'!J:J,'Fluxo de Caixa'!B:B,"Saídas",'Fluxo de Caixa'!H:H,"Pago",'Fluxo de Caixa'!A:A,"&gt;="&amp;Dashboard!B57,'Fluxo de Caixa'!A:A,"&lt;="&amp;EOMONTH(Dashboard!B57,0))</f>
        <v>0</v>
      </c>
      <c r="E57" s="13">
        <f t="shared" si="0"/>
        <v>0</v>
      </c>
      <c r="F57" s="14">
        <f t="shared" si="1"/>
        <v>0</v>
      </c>
      <c r="G57" s="14">
        <f t="shared" si="3"/>
        <v>51481</v>
      </c>
      <c r="K57" s="16"/>
      <c r="S57" s="1"/>
      <c r="T57" s="11"/>
    </row>
    <row r="58" spans="2:20" x14ac:dyDescent="0.35">
      <c r="B58" s="25">
        <f t="shared" si="2"/>
        <v>45047</v>
      </c>
      <c r="C58" s="13">
        <f>SUMIFS('Fluxo de Caixa'!J:J,'Fluxo de Caixa'!B:B,"Entradas",'Fluxo de Caixa'!H:H,"Pago",'Fluxo de Caixa'!A:A,"&gt;="&amp;Dashboard!B58,'Fluxo de Caixa'!A:A,"&lt;="&amp;EOMONTH(Dashboard!B58,0))</f>
        <v>0</v>
      </c>
      <c r="D58" s="13">
        <f>-SUMIFS('Fluxo de Caixa'!J:J,'Fluxo de Caixa'!B:B,"Saídas",'Fluxo de Caixa'!H:H,"Pago",'Fluxo de Caixa'!A:A,"&gt;="&amp;Dashboard!B58,'Fluxo de Caixa'!A:A,"&lt;="&amp;EOMONTH(Dashboard!B58,0))</f>
        <v>0</v>
      </c>
      <c r="E58" s="13">
        <f t="shared" si="0"/>
        <v>0</v>
      </c>
      <c r="F58" s="14">
        <f t="shared" si="1"/>
        <v>0</v>
      </c>
      <c r="G58" s="14">
        <f t="shared" si="3"/>
        <v>51481</v>
      </c>
      <c r="K58" s="16"/>
      <c r="S58" s="1"/>
      <c r="T58" s="11"/>
    </row>
    <row r="59" spans="2:20" x14ac:dyDescent="0.35">
      <c r="B59" s="25">
        <f t="shared" si="2"/>
        <v>45078</v>
      </c>
      <c r="C59" s="13">
        <f>SUMIFS('Fluxo de Caixa'!J:J,'Fluxo de Caixa'!B:B,"Entradas",'Fluxo de Caixa'!H:H,"Pago",'Fluxo de Caixa'!A:A,"&gt;="&amp;Dashboard!B59,'Fluxo de Caixa'!A:A,"&lt;="&amp;EOMONTH(Dashboard!B59,0))</f>
        <v>0</v>
      </c>
      <c r="D59" s="13">
        <f>-SUMIFS('Fluxo de Caixa'!J:J,'Fluxo de Caixa'!B:B,"Saídas",'Fluxo de Caixa'!H:H,"Pago",'Fluxo de Caixa'!A:A,"&gt;="&amp;Dashboard!B59,'Fluxo de Caixa'!A:A,"&lt;="&amp;EOMONTH(Dashboard!B59,0))</f>
        <v>0</v>
      </c>
      <c r="E59" s="13">
        <f t="shared" si="0"/>
        <v>0</v>
      </c>
      <c r="F59" s="14">
        <f t="shared" si="1"/>
        <v>0</v>
      </c>
      <c r="G59" s="14">
        <f t="shared" si="3"/>
        <v>51481</v>
      </c>
      <c r="K59" s="16"/>
      <c r="S59" s="1"/>
      <c r="T59" s="11"/>
    </row>
    <row r="60" spans="2:20" x14ac:dyDescent="0.35">
      <c r="B60" s="25">
        <f t="shared" si="2"/>
        <v>45108</v>
      </c>
      <c r="C60" s="13">
        <f>SUMIFS('Fluxo de Caixa'!J:J,'Fluxo de Caixa'!B:B,"Entradas",'Fluxo de Caixa'!H:H,"Pago",'Fluxo de Caixa'!A:A,"&gt;="&amp;Dashboard!B60,'Fluxo de Caixa'!A:A,"&lt;="&amp;EOMONTH(Dashboard!B60,0))</f>
        <v>0</v>
      </c>
      <c r="D60" s="13">
        <f>-SUMIFS('Fluxo de Caixa'!J:J,'Fluxo de Caixa'!B:B,"Saídas",'Fluxo de Caixa'!H:H,"Pago",'Fluxo de Caixa'!A:A,"&gt;="&amp;Dashboard!B60,'Fluxo de Caixa'!A:A,"&lt;="&amp;EOMONTH(Dashboard!B60,0))</f>
        <v>0</v>
      </c>
      <c r="E60" s="13">
        <f t="shared" si="0"/>
        <v>0</v>
      </c>
      <c r="F60" s="14">
        <f t="shared" si="1"/>
        <v>0</v>
      </c>
      <c r="G60" s="14">
        <f t="shared" si="3"/>
        <v>51481</v>
      </c>
      <c r="K60" s="16"/>
      <c r="S60" s="1"/>
      <c r="T60" s="11"/>
    </row>
    <row r="61" spans="2:20" x14ac:dyDescent="0.35">
      <c r="B61" s="25">
        <f t="shared" si="2"/>
        <v>45139</v>
      </c>
      <c r="C61" s="13">
        <f>SUMIFS('Fluxo de Caixa'!J:J,'Fluxo de Caixa'!B:B,"Entradas",'Fluxo de Caixa'!H:H,"Pago",'Fluxo de Caixa'!A:A,"&gt;="&amp;Dashboard!B61,'Fluxo de Caixa'!A:A,"&lt;="&amp;EOMONTH(Dashboard!B61,0))</f>
        <v>0</v>
      </c>
      <c r="D61" s="13">
        <f>-SUMIFS('Fluxo de Caixa'!J:J,'Fluxo de Caixa'!B:B,"Saídas",'Fluxo de Caixa'!H:H,"Pago",'Fluxo de Caixa'!A:A,"&gt;="&amp;Dashboard!B61,'Fluxo de Caixa'!A:A,"&lt;="&amp;EOMONTH(Dashboard!B61,0))</f>
        <v>0</v>
      </c>
      <c r="E61" s="13">
        <f t="shared" si="0"/>
        <v>0</v>
      </c>
      <c r="F61" s="14">
        <f t="shared" si="1"/>
        <v>0</v>
      </c>
      <c r="G61" s="14">
        <f t="shared" si="3"/>
        <v>51481</v>
      </c>
      <c r="K61" s="16"/>
      <c r="S61" s="1"/>
      <c r="T61" s="11"/>
    </row>
    <row r="62" spans="2:20" x14ac:dyDescent="0.35">
      <c r="B62" s="25">
        <f t="shared" si="2"/>
        <v>45170</v>
      </c>
      <c r="C62" s="13">
        <f>SUMIFS('Fluxo de Caixa'!J:J,'Fluxo de Caixa'!B:B,"Entradas",'Fluxo de Caixa'!H:H,"Pago",'Fluxo de Caixa'!A:A,"&gt;="&amp;Dashboard!B62,'Fluxo de Caixa'!A:A,"&lt;="&amp;EOMONTH(Dashboard!B62,0))</f>
        <v>0</v>
      </c>
      <c r="D62" s="13">
        <f>-SUMIFS('Fluxo de Caixa'!J:J,'Fluxo de Caixa'!B:B,"Saídas",'Fluxo de Caixa'!H:H,"Pago",'Fluxo de Caixa'!A:A,"&gt;="&amp;Dashboard!B62,'Fluxo de Caixa'!A:A,"&lt;="&amp;EOMONTH(Dashboard!B62,0))</f>
        <v>0</v>
      </c>
      <c r="E62" s="13">
        <f t="shared" si="0"/>
        <v>0</v>
      </c>
      <c r="F62" s="14">
        <f t="shared" si="1"/>
        <v>0</v>
      </c>
      <c r="G62" s="14">
        <f t="shared" si="3"/>
        <v>51481</v>
      </c>
      <c r="S62" s="1"/>
      <c r="T62" s="11"/>
    </row>
    <row r="63" spans="2:20" x14ac:dyDescent="0.35">
      <c r="B63" s="25">
        <f t="shared" si="2"/>
        <v>45200</v>
      </c>
      <c r="C63" s="13">
        <f>SUMIFS('Fluxo de Caixa'!J:J,'Fluxo de Caixa'!B:B,"Entradas",'Fluxo de Caixa'!H:H,"Pago",'Fluxo de Caixa'!A:A,"&gt;="&amp;Dashboard!B63,'Fluxo de Caixa'!A:A,"&lt;="&amp;EOMONTH(Dashboard!B63,0))</f>
        <v>0</v>
      </c>
      <c r="D63" s="13">
        <f>-SUMIFS('Fluxo de Caixa'!J:J,'Fluxo de Caixa'!B:B,"Saídas",'Fluxo de Caixa'!H:H,"Pago",'Fluxo de Caixa'!A:A,"&gt;="&amp;Dashboard!B63,'Fluxo de Caixa'!A:A,"&lt;="&amp;EOMONTH(Dashboard!B63,0))</f>
        <v>0</v>
      </c>
      <c r="E63" s="13">
        <f t="shared" si="0"/>
        <v>0</v>
      </c>
      <c r="F63" s="14">
        <f t="shared" si="1"/>
        <v>0</v>
      </c>
      <c r="G63" s="14">
        <f t="shared" si="3"/>
        <v>51481</v>
      </c>
      <c r="S63" s="1"/>
      <c r="T63" s="11"/>
    </row>
    <row r="64" spans="2:20" x14ac:dyDescent="0.35">
      <c r="B64" s="25">
        <f t="shared" si="2"/>
        <v>45231</v>
      </c>
      <c r="C64" s="13">
        <f>SUMIFS('Fluxo de Caixa'!J:J,'Fluxo de Caixa'!B:B,"Entradas",'Fluxo de Caixa'!H:H,"Pago",'Fluxo de Caixa'!A:A,"&gt;="&amp;Dashboard!B64,'Fluxo de Caixa'!A:A,"&lt;="&amp;EOMONTH(Dashboard!B64,0))</f>
        <v>0</v>
      </c>
      <c r="D64" s="13">
        <f>-SUMIFS('Fluxo de Caixa'!J:J,'Fluxo de Caixa'!B:B,"Saídas",'Fluxo de Caixa'!H:H,"Pago",'Fluxo de Caixa'!A:A,"&gt;="&amp;Dashboard!B64,'Fluxo de Caixa'!A:A,"&lt;="&amp;EOMONTH(Dashboard!B64,0))</f>
        <v>0</v>
      </c>
      <c r="E64" s="13">
        <f t="shared" si="0"/>
        <v>0</v>
      </c>
      <c r="F64" s="14">
        <f t="shared" si="1"/>
        <v>0</v>
      </c>
      <c r="G64" s="14">
        <f t="shared" si="3"/>
        <v>51481</v>
      </c>
      <c r="S64" s="1"/>
      <c r="T64" s="11"/>
    </row>
    <row r="65" spans="2:20" x14ac:dyDescent="0.35">
      <c r="B65" s="25">
        <f t="shared" si="2"/>
        <v>45261</v>
      </c>
      <c r="C65" s="13">
        <f>SUMIFS('Fluxo de Caixa'!J:J,'Fluxo de Caixa'!B:B,"Entradas",'Fluxo de Caixa'!H:H,"Pago",'Fluxo de Caixa'!A:A,"&gt;="&amp;Dashboard!B65,'Fluxo de Caixa'!A:A,"&lt;="&amp;EOMONTH(Dashboard!B65,0))</f>
        <v>0</v>
      </c>
      <c r="D65" s="13">
        <f>-SUMIFS('Fluxo de Caixa'!J:J,'Fluxo de Caixa'!B:B,"Saídas",'Fluxo de Caixa'!H:H,"Pago",'Fluxo de Caixa'!A:A,"&gt;="&amp;Dashboard!B65,'Fluxo de Caixa'!A:A,"&lt;="&amp;EOMONTH(Dashboard!B65,0))</f>
        <v>0</v>
      </c>
      <c r="E65" s="13">
        <f t="shared" si="0"/>
        <v>0</v>
      </c>
      <c r="F65" s="14">
        <f t="shared" si="1"/>
        <v>0</v>
      </c>
      <c r="G65" s="14">
        <f t="shared" si="3"/>
        <v>51481</v>
      </c>
      <c r="S65" s="1"/>
      <c r="T65" s="11"/>
    </row>
    <row r="66" spans="2:20" x14ac:dyDescent="0.35">
      <c r="B66" s="25">
        <f t="shared" si="2"/>
        <v>45292</v>
      </c>
      <c r="C66" s="13">
        <f>SUMIFS('Fluxo de Caixa'!J:J,'Fluxo de Caixa'!B:B,"Entradas",'Fluxo de Caixa'!H:H,"Pago",'Fluxo de Caixa'!A:A,"&gt;="&amp;Dashboard!B66,'Fluxo de Caixa'!A:A,"&lt;="&amp;EOMONTH(Dashboard!B66,0))</f>
        <v>0</v>
      </c>
      <c r="D66" s="13">
        <f>-SUMIFS('Fluxo de Caixa'!J:J,'Fluxo de Caixa'!B:B,"Saídas",'Fluxo de Caixa'!H:H,"Pago",'Fluxo de Caixa'!A:A,"&gt;="&amp;Dashboard!B66,'Fluxo de Caixa'!A:A,"&lt;="&amp;EOMONTH(Dashboard!B66,0))</f>
        <v>0</v>
      </c>
      <c r="E66" s="13">
        <f t="shared" si="0"/>
        <v>0</v>
      </c>
      <c r="F66" s="14">
        <f t="shared" si="1"/>
        <v>0</v>
      </c>
      <c r="G66" s="14">
        <f t="shared" si="3"/>
        <v>51481</v>
      </c>
      <c r="S66" s="1"/>
      <c r="T66" s="11"/>
    </row>
    <row r="67" spans="2:20" x14ac:dyDescent="0.35">
      <c r="B67" s="25">
        <f t="shared" si="2"/>
        <v>45323</v>
      </c>
      <c r="C67" s="13">
        <f>SUMIFS('Fluxo de Caixa'!J:J,'Fluxo de Caixa'!B:B,"Entradas",'Fluxo de Caixa'!H:H,"Pago",'Fluxo de Caixa'!A:A,"&gt;="&amp;Dashboard!B67,'Fluxo de Caixa'!A:A,"&lt;="&amp;EOMONTH(Dashboard!B67,0))</f>
        <v>0</v>
      </c>
      <c r="D67" s="13">
        <f>-SUMIFS('Fluxo de Caixa'!J:J,'Fluxo de Caixa'!B:B,"Saídas",'Fluxo de Caixa'!H:H,"Pago",'Fluxo de Caixa'!A:A,"&gt;="&amp;Dashboard!B67,'Fluxo de Caixa'!A:A,"&lt;="&amp;EOMONTH(Dashboard!B67,0))</f>
        <v>0</v>
      </c>
      <c r="E67" s="13">
        <f t="shared" si="0"/>
        <v>0</v>
      </c>
      <c r="F67" s="14">
        <f t="shared" si="1"/>
        <v>0</v>
      </c>
      <c r="G67" s="14">
        <f t="shared" si="3"/>
        <v>51481</v>
      </c>
      <c r="S67" s="1"/>
      <c r="T67" s="11"/>
    </row>
    <row r="68" spans="2:20" x14ac:dyDescent="0.35">
      <c r="B68" s="25">
        <f t="shared" si="2"/>
        <v>45352</v>
      </c>
      <c r="C68" s="13">
        <f>SUMIFS('Fluxo de Caixa'!J:J,'Fluxo de Caixa'!B:B,"Entradas",'Fluxo de Caixa'!H:H,"Pago",'Fluxo de Caixa'!A:A,"&gt;="&amp;Dashboard!B68,'Fluxo de Caixa'!A:A,"&lt;="&amp;EOMONTH(Dashboard!B68,0))</f>
        <v>0</v>
      </c>
      <c r="D68" s="13">
        <f>-SUMIFS('Fluxo de Caixa'!J:J,'Fluxo de Caixa'!B:B,"Saídas",'Fluxo de Caixa'!H:H,"Pago",'Fluxo de Caixa'!A:A,"&gt;="&amp;Dashboard!B68,'Fluxo de Caixa'!A:A,"&lt;="&amp;EOMONTH(Dashboard!B68,0))</f>
        <v>0</v>
      </c>
      <c r="E68" s="13">
        <f t="shared" si="0"/>
        <v>0</v>
      </c>
      <c r="F68" s="14">
        <f t="shared" si="1"/>
        <v>0</v>
      </c>
      <c r="G68" s="14">
        <f t="shared" si="3"/>
        <v>51481</v>
      </c>
      <c r="S68" s="1"/>
      <c r="T68" s="11"/>
    </row>
    <row r="69" spans="2:20" x14ac:dyDescent="0.35">
      <c r="B69" s="25">
        <f t="shared" si="2"/>
        <v>45383</v>
      </c>
      <c r="C69" s="13">
        <f>SUMIFS('Fluxo de Caixa'!J:J,'Fluxo de Caixa'!B:B,"Entradas",'Fluxo de Caixa'!H:H,"Pago",'Fluxo de Caixa'!A:A,"&gt;="&amp;Dashboard!B69,'Fluxo de Caixa'!A:A,"&lt;="&amp;EOMONTH(Dashboard!B69,0))</f>
        <v>0</v>
      </c>
      <c r="D69" s="13">
        <f>-SUMIFS('Fluxo de Caixa'!J:J,'Fluxo de Caixa'!B:B,"Saídas",'Fluxo de Caixa'!H:H,"Pago",'Fluxo de Caixa'!A:A,"&gt;="&amp;Dashboard!B69,'Fluxo de Caixa'!A:A,"&lt;="&amp;EOMONTH(Dashboard!B69,0))</f>
        <v>0</v>
      </c>
      <c r="E69" s="13">
        <f t="shared" si="0"/>
        <v>0</v>
      </c>
      <c r="F69" s="14">
        <f t="shared" si="1"/>
        <v>0</v>
      </c>
      <c r="G69" s="14">
        <f t="shared" si="3"/>
        <v>51481</v>
      </c>
      <c r="S69" s="1"/>
      <c r="T69" s="11"/>
    </row>
    <row r="70" spans="2:20" x14ac:dyDescent="0.35">
      <c r="B70" s="25">
        <f t="shared" si="2"/>
        <v>45413</v>
      </c>
      <c r="C70" s="13">
        <f>SUMIFS('Fluxo de Caixa'!J:J,'Fluxo de Caixa'!B:B,"Entradas",'Fluxo de Caixa'!H:H,"Pago",'Fluxo de Caixa'!A:A,"&gt;="&amp;Dashboard!B70,'Fluxo de Caixa'!A:A,"&lt;="&amp;EOMONTH(Dashboard!B70,0))</f>
        <v>0</v>
      </c>
      <c r="D70" s="13">
        <f>-SUMIFS('Fluxo de Caixa'!J:J,'Fluxo de Caixa'!B:B,"Saídas",'Fluxo de Caixa'!H:H,"Pago",'Fluxo de Caixa'!A:A,"&gt;="&amp;Dashboard!B70,'Fluxo de Caixa'!A:A,"&lt;="&amp;EOMONTH(Dashboard!B70,0))</f>
        <v>0</v>
      </c>
      <c r="E70" s="13">
        <f t="shared" si="0"/>
        <v>0</v>
      </c>
      <c r="F70" s="14">
        <f t="shared" si="1"/>
        <v>0</v>
      </c>
      <c r="G70" s="14">
        <f t="shared" si="3"/>
        <v>51481</v>
      </c>
      <c r="S70" s="1"/>
      <c r="T70" s="11"/>
    </row>
    <row r="71" spans="2:20" x14ac:dyDescent="0.35">
      <c r="B71" s="25">
        <f t="shared" si="2"/>
        <v>45444</v>
      </c>
      <c r="C71" s="13">
        <f>SUMIFS('Fluxo de Caixa'!J:J,'Fluxo de Caixa'!B:B,"Entradas",'Fluxo de Caixa'!H:H,"Pago",'Fluxo de Caixa'!A:A,"&gt;="&amp;Dashboard!B71,'Fluxo de Caixa'!A:A,"&lt;="&amp;EOMONTH(Dashboard!B71,0))</f>
        <v>0</v>
      </c>
      <c r="D71" s="13">
        <f>-SUMIFS('Fluxo de Caixa'!J:J,'Fluxo de Caixa'!B:B,"Saídas",'Fluxo de Caixa'!H:H,"Pago",'Fluxo de Caixa'!A:A,"&gt;="&amp;Dashboard!B71,'Fluxo de Caixa'!A:A,"&lt;="&amp;EOMONTH(Dashboard!B71,0))</f>
        <v>0</v>
      </c>
      <c r="E71" s="13">
        <f t="shared" si="0"/>
        <v>0</v>
      </c>
      <c r="F71" s="14">
        <f t="shared" si="1"/>
        <v>0</v>
      </c>
      <c r="G71" s="14">
        <f t="shared" si="3"/>
        <v>51481</v>
      </c>
      <c r="S71" s="1"/>
      <c r="T71" s="11"/>
    </row>
    <row r="72" spans="2:20" x14ac:dyDescent="0.35">
      <c r="B72" s="25">
        <f t="shared" si="2"/>
        <v>45474</v>
      </c>
      <c r="C72" s="13">
        <f>SUMIFS('Fluxo de Caixa'!J:J,'Fluxo de Caixa'!B:B,"Entradas",'Fluxo de Caixa'!H:H,"Pago",'Fluxo de Caixa'!A:A,"&gt;="&amp;Dashboard!B72,'Fluxo de Caixa'!A:A,"&lt;="&amp;EOMONTH(Dashboard!B72,0))</f>
        <v>0</v>
      </c>
      <c r="D72" s="13">
        <f>-SUMIFS('Fluxo de Caixa'!J:J,'Fluxo de Caixa'!B:B,"Saídas",'Fluxo de Caixa'!H:H,"Pago",'Fluxo de Caixa'!A:A,"&gt;="&amp;Dashboard!B72,'Fluxo de Caixa'!A:A,"&lt;="&amp;EOMONTH(Dashboard!B72,0))</f>
        <v>0</v>
      </c>
      <c r="E72" s="13">
        <f t="shared" si="0"/>
        <v>0</v>
      </c>
      <c r="F72" s="14">
        <f t="shared" si="1"/>
        <v>0</v>
      </c>
      <c r="G72" s="14">
        <f t="shared" si="3"/>
        <v>51481</v>
      </c>
      <c r="S72" s="1"/>
      <c r="T72" s="11"/>
    </row>
    <row r="73" spans="2:20" x14ac:dyDescent="0.35">
      <c r="B73" s="25">
        <f t="shared" si="2"/>
        <v>45505</v>
      </c>
      <c r="C73" s="13">
        <f>SUMIFS('Fluxo de Caixa'!J:J,'Fluxo de Caixa'!B:B,"Entradas",'Fluxo de Caixa'!H:H,"Pago",'Fluxo de Caixa'!A:A,"&gt;="&amp;Dashboard!B73,'Fluxo de Caixa'!A:A,"&lt;="&amp;EOMONTH(Dashboard!B73,0))</f>
        <v>0</v>
      </c>
      <c r="D73" s="13">
        <f>-SUMIFS('Fluxo de Caixa'!J:J,'Fluxo de Caixa'!B:B,"Saídas",'Fluxo de Caixa'!H:H,"Pago",'Fluxo de Caixa'!A:A,"&gt;="&amp;Dashboard!B73,'Fluxo de Caixa'!A:A,"&lt;="&amp;EOMONTH(Dashboard!B73,0))</f>
        <v>0</v>
      </c>
      <c r="E73" s="13">
        <f t="shared" si="0"/>
        <v>0</v>
      </c>
      <c r="F73" s="14">
        <f t="shared" si="1"/>
        <v>0</v>
      </c>
      <c r="G73" s="14">
        <f t="shared" si="3"/>
        <v>51481</v>
      </c>
      <c r="S73" s="1"/>
      <c r="T73" s="11"/>
    </row>
    <row r="74" spans="2:20" x14ac:dyDescent="0.35">
      <c r="B74" s="25">
        <f t="shared" si="2"/>
        <v>45536</v>
      </c>
      <c r="C74" s="13">
        <f>SUMIFS('Fluxo de Caixa'!J:J,'Fluxo de Caixa'!B:B,"Entradas",'Fluxo de Caixa'!H:H,"Pago",'Fluxo de Caixa'!A:A,"&gt;="&amp;Dashboard!B74,'Fluxo de Caixa'!A:A,"&lt;="&amp;EOMONTH(Dashboard!B74,0))</f>
        <v>0</v>
      </c>
      <c r="D74" s="13">
        <f>-SUMIFS('Fluxo de Caixa'!J:J,'Fluxo de Caixa'!B:B,"Saídas",'Fluxo de Caixa'!H:H,"Pago",'Fluxo de Caixa'!A:A,"&gt;="&amp;Dashboard!B74,'Fluxo de Caixa'!A:A,"&lt;="&amp;EOMONTH(Dashboard!B74,0))</f>
        <v>0</v>
      </c>
      <c r="E74" s="13">
        <f t="shared" si="0"/>
        <v>0</v>
      </c>
      <c r="F74" s="14">
        <f t="shared" si="1"/>
        <v>0</v>
      </c>
      <c r="G74" s="14">
        <f t="shared" si="3"/>
        <v>51481</v>
      </c>
      <c r="S74" s="1"/>
      <c r="T74" s="11"/>
    </row>
    <row r="75" spans="2:20" x14ac:dyDescent="0.35">
      <c r="B75" s="25">
        <f t="shared" si="2"/>
        <v>45566</v>
      </c>
      <c r="C75" s="13">
        <f>SUMIFS('Fluxo de Caixa'!J:J,'Fluxo de Caixa'!B:B,"Entradas",'Fluxo de Caixa'!H:H,"Pago",'Fluxo de Caixa'!A:A,"&gt;="&amp;Dashboard!B75,'Fluxo de Caixa'!A:A,"&lt;="&amp;EOMONTH(Dashboard!B75,0))</f>
        <v>0</v>
      </c>
      <c r="D75" s="13">
        <f>-SUMIFS('Fluxo de Caixa'!J:J,'Fluxo de Caixa'!B:B,"Saídas",'Fluxo de Caixa'!H:H,"Pago",'Fluxo de Caixa'!A:A,"&gt;="&amp;Dashboard!B75,'Fluxo de Caixa'!A:A,"&lt;="&amp;EOMONTH(Dashboard!B75,0))</f>
        <v>0</v>
      </c>
      <c r="E75" s="13">
        <f t="shared" si="0"/>
        <v>0</v>
      </c>
      <c r="F75" s="14">
        <f t="shared" si="1"/>
        <v>0</v>
      </c>
      <c r="G75" s="14">
        <f t="shared" si="3"/>
        <v>51481</v>
      </c>
      <c r="S75" s="1"/>
      <c r="T75" s="11"/>
    </row>
    <row r="76" spans="2:20" x14ac:dyDescent="0.35">
      <c r="B76" s="25">
        <f t="shared" si="2"/>
        <v>45597</v>
      </c>
      <c r="C76" s="13">
        <f>SUMIFS('Fluxo de Caixa'!J:J,'Fluxo de Caixa'!B:B,"Entradas",'Fluxo de Caixa'!H:H,"Pago",'Fluxo de Caixa'!A:A,"&gt;="&amp;Dashboard!B76,'Fluxo de Caixa'!A:A,"&lt;="&amp;EOMONTH(Dashboard!B76,0))</f>
        <v>0</v>
      </c>
      <c r="D76" s="13">
        <f>-SUMIFS('Fluxo de Caixa'!J:J,'Fluxo de Caixa'!B:B,"Saídas",'Fluxo de Caixa'!H:H,"Pago",'Fluxo de Caixa'!A:A,"&gt;="&amp;Dashboard!B76,'Fluxo de Caixa'!A:A,"&lt;="&amp;EOMONTH(Dashboard!B76,0))</f>
        <v>0</v>
      </c>
      <c r="E76" s="13">
        <f t="shared" si="0"/>
        <v>0</v>
      </c>
      <c r="F76" s="14">
        <f t="shared" si="1"/>
        <v>0</v>
      </c>
      <c r="G76" s="14">
        <f t="shared" si="3"/>
        <v>51481</v>
      </c>
      <c r="S76" s="1"/>
      <c r="T76" s="11"/>
    </row>
    <row r="77" spans="2:20" x14ac:dyDescent="0.35">
      <c r="B77" s="25">
        <f t="shared" si="2"/>
        <v>45627</v>
      </c>
      <c r="C77" s="13">
        <f>SUMIFS('Fluxo de Caixa'!J:J,'Fluxo de Caixa'!B:B,"Entradas",'Fluxo de Caixa'!H:H,"Pago",'Fluxo de Caixa'!A:A,"&gt;="&amp;Dashboard!B77,'Fluxo de Caixa'!A:A,"&lt;="&amp;EOMONTH(Dashboard!B77,0))</f>
        <v>0</v>
      </c>
      <c r="D77" s="13">
        <f>-SUMIFS('Fluxo de Caixa'!J:J,'Fluxo de Caixa'!B:B,"Saídas",'Fluxo de Caixa'!H:H,"Pago",'Fluxo de Caixa'!A:A,"&gt;="&amp;Dashboard!B77,'Fluxo de Caixa'!A:A,"&lt;="&amp;EOMONTH(Dashboard!B77,0))</f>
        <v>0</v>
      </c>
      <c r="E77" s="13">
        <f t="shared" si="0"/>
        <v>0</v>
      </c>
      <c r="F77" s="14">
        <f t="shared" si="1"/>
        <v>0</v>
      </c>
      <c r="G77" s="14">
        <f t="shared" si="3"/>
        <v>51481</v>
      </c>
      <c r="S77" s="1"/>
      <c r="T77" s="11"/>
    </row>
    <row r="78" spans="2:20" x14ac:dyDescent="0.35">
      <c r="B78" s="25">
        <f t="shared" si="2"/>
        <v>45658</v>
      </c>
      <c r="C78" s="13">
        <f>SUMIFS('Fluxo de Caixa'!J:J,'Fluxo de Caixa'!B:B,"Entradas",'Fluxo de Caixa'!H:H,"Pago",'Fluxo de Caixa'!A:A,"&gt;="&amp;Dashboard!B78,'Fluxo de Caixa'!A:A,"&lt;="&amp;EOMONTH(Dashboard!B78,0))</f>
        <v>0</v>
      </c>
      <c r="D78" s="13">
        <f>-SUMIFS('Fluxo de Caixa'!J:J,'Fluxo de Caixa'!B:B,"Saídas",'Fluxo de Caixa'!H:H,"Pago",'Fluxo de Caixa'!A:A,"&gt;="&amp;Dashboard!B78,'Fluxo de Caixa'!A:A,"&lt;="&amp;EOMONTH(Dashboard!B78,0))</f>
        <v>0</v>
      </c>
      <c r="E78" s="13">
        <f t="shared" si="0"/>
        <v>0</v>
      </c>
      <c r="F78" s="14">
        <f t="shared" si="1"/>
        <v>0</v>
      </c>
      <c r="G78" s="14">
        <f t="shared" si="3"/>
        <v>51481</v>
      </c>
      <c r="S78" s="1"/>
      <c r="T78" s="11"/>
    </row>
    <row r="79" spans="2:20" x14ac:dyDescent="0.35">
      <c r="S79" s="1"/>
      <c r="T79" s="11"/>
    </row>
    <row r="80" spans="2:20" x14ac:dyDescent="0.35">
      <c r="S80" s="1"/>
      <c r="T80" s="11"/>
    </row>
    <row r="81" spans="19:20" x14ac:dyDescent="0.35">
      <c r="S81" s="1"/>
      <c r="T81" s="11"/>
    </row>
    <row r="82" spans="19:20" x14ac:dyDescent="0.35">
      <c r="S82" s="1"/>
      <c r="T82" s="11"/>
    </row>
    <row r="83" spans="19:20" x14ac:dyDescent="0.35">
      <c r="S83" s="1"/>
      <c r="T83" s="11"/>
    </row>
    <row r="84" spans="19:20" x14ac:dyDescent="0.35">
      <c r="S84" s="1"/>
      <c r="T84" s="11"/>
    </row>
    <row r="85" spans="19:20" x14ac:dyDescent="0.35">
      <c r="S85" s="1"/>
      <c r="T85" s="11"/>
    </row>
    <row r="86" spans="19:20" x14ac:dyDescent="0.35">
      <c r="S86" s="1"/>
      <c r="T86" s="11"/>
    </row>
    <row r="87" spans="19:20" x14ac:dyDescent="0.35">
      <c r="S87" s="1"/>
      <c r="T87" s="11"/>
    </row>
    <row r="88" spans="19:20" x14ac:dyDescent="0.35">
      <c r="S88" s="1"/>
      <c r="T88" s="11"/>
    </row>
    <row r="89" spans="19:20" x14ac:dyDescent="0.35">
      <c r="S89" s="1"/>
      <c r="T89" s="11"/>
    </row>
    <row r="90" spans="19:20" x14ac:dyDescent="0.35">
      <c r="S90" s="1"/>
      <c r="T90" s="11"/>
    </row>
    <row r="91" spans="19:20" x14ac:dyDescent="0.35">
      <c r="S91" s="1"/>
      <c r="T91" s="11"/>
    </row>
    <row r="92" spans="19:20" x14ac:dyDescent="0.35">
      <c r="S92" s="1"/>
      <c r="T92" s="11"/>
    </row>
    <row r="93" spans="19:20" x14ac:dyDescent="0.35">
      <c r="S93" s="1"/>
      <c r="T93" s="11"/>
    </row>
    <row r="94" spans="19:20" x14ac:dyDescent="0.35">
      <c r="S94" s="1"/>
      <c r="T94" s="11"/>
    </row>
    <row r="95" spans="19:20" x14ac:dyDescent="0.35">
      <c r="S95" s="1"/>
      <c r="T95" s="11"/>
    </row>
    <row r="96" spans="19:20" x14ac:dyDescent="0.35">
      <c r="S96" s="1"/>
      <c r="T96" s="11"/>
    </row>
    <row r="97" spans="19:20" x14ac:dyDescent="0.35">
      <c r="S97" s="1"/>
      <c r="T97" s="11"/>
    </row>
    <row r="98" spans="19:20" x14ac:dyDescent="0.35">
      <c r="S98" s="1"/>
      <c r="T98" s="11"/>
    </row>
    <row r="99" spans="19:20" x14ac:dyDescent="0.35">
      <c r="S99" s="1"/>
      <c r="T99" s="11"/>
    </row>
    <row r="100" spans="19:20" x14ac:dyDescent="0.35">
      <c r="S100" s="1"/>
      <c r="T100" s="11"/>
    </row>
    <row r="101" spans="19:20" x14ac:dyDescent="0.35">
      <c r="S101" s="1"/>
      <c r="T101" s="11"/>
    </row>
    <row r="102" spans="19:20" x14ac:dyDescent="0.35">
      <c r="S102" s="1"/>
      <c r="T102" s="11"/>
    </row>
    <row r="103" spans="19:20" x14ac:dyDescent="0.35">
      <c r="S103" s="1"/>
      <c r="T103" s="11"/>
    </row>
    <row r="104" spans="19:20" x14ac:dyDescent="0.35">
      <c r="S104" s="1"/>
      <c r="T104" s="11"/>
    </row>
    <row r="105" spans="19:20" x14ac:dyDescent="0.35">
      <c r="S105" s="1"/>
      <c r="T105" s="11"/>
    </row>
    <row r="106" spans="19:20" x14ac:dyDescent="0.35">
      <c r="S106" s="1"/>
      <c r="T106" s="11"/>
    </row>
    <row r="107" spans="19:20" x14ac:dyDescent="0.35">
      <c r="S107" s="1"/>
      <c r="T107" s="11"/>
    </row>
    <row r="108" spans="19:20" x14ac:dyDescent="0.35">
      <c r="S108" s="1"/>
      <c r="T108" s="11"/>
    </row>
    <row r="109" spans="19:20" x14ac:dyDescent="0.35">
      <c r="S109" s="1"/>
      <c r="T109" s="11"/>
    </row>
    <row r="110" spans="19:20" x14ac:dyDescent="0.35">
      <c r="S110" s="1"/>
      <c r="T110" s="11"/>
    </row>
    <row r="111" spans="19:20" x14ac:dyDescent="0.35">
      <c r="S111" s="1"/>
      <c r="T111" s="11"/>
    </row>
    <row r="112" spans="19:20" x14ac:dyDescent="0.35">
      <c r="S112" s="1"/>
      <c r="T112" s="11"/>
    </row>
    <row r="113" spans="19:20" x14ac:dyDescent="0.35">
      <c r="S113" s="1"/>
      <c r="T113" s="11"/>
    </row>
    <row r="114" spans="19:20" x14ac:dyDescent="0.35">
      <c r="S114" s="1"/>
      <c r="T114" s="11"/>
    </row>
    <row r="115" spans="19:20" x14ac:dyDescent="0.35">
      <c r="S115" s="1"/>
      <c r="T115" s="11"/>
    </row>
    <row r="116" spans="19:20" x14ac:dyDescent="0.35">
      <c r="S116" s="1"/>
      <c r="T116" s="11"/>
    </row>
    <row r="117" spans="19:20" x14ac:dyDescent="0.35">
      <c r="S117" s="1"/>
      <c r="T117" s="11"/>
    </row>
    <row r="118" spans="19:20" x14ac:dyDescent="0.35">
      <c r="S118" s="1"/>
      <c r="T118" s="11"/>
    </row>
    <row r="119" spans="19:20" x14ac:dyDescent="0.35">
      <c r="S119" s="1"/>
      <c r="T119" s="11"/>
    </row>
    <row r="120" spans="19:20" x14ac:dyDescent="0.35">
      <c r="S120" s="1"/>
      <c r="T120" s="11"/>
    </row>
    <row r="121" spans="19:20" x14ac:dyDescent="0.35">
      <c r="S121" s="1"/>
      <c r="T121" s="11"/>
    </row>
    <row r="122" spans="19:20" x14ac:dyDescent="0.35">
      <c r="S122" s="1"/>
      <c r="T122" s="11"/>
    </row>
    <row r="123" spans="19:20" x14ac:dyDescent="0.35">
      <c r="S123" s="1"/>
      <c r="T123" s="11"/>
    </row>
    <row r="124" spans="19:20" x14ac:dyDescent="0.35">
      <c r="S124" s="1"/>
      <c r="T124" s="11"/>
    </row>
    <row r="125" spans="19:20" x14ac:dyDescent="0.35">
      <c r="S125" s="1"/>
      <c r="T125" s="11"/>
    </row>
    <row r="126" spans="19:20" x14ac:dyDescent="0.35">
      <c r="S126" s="1"/>
      <c r="T126" s="11"/>
    </row>
    <row r="127" spans="19:20" x14ac:dyDescent="0.35">
      <c r="S127" s="1"/>
      <c r="T127" s="11"/>
    </row>
    <row r="128" spans="19:20" x14ac:dyDescent="0.35">
      <c r="S128" s="1"/>
      <c r="T128" s="11"/>
    </row>
    <row r="129" spans="19:20" x14ac:dyDescent="0.35">
      <c r="S129" s="1"/>
      <c r="T129" s="11"/>
    </row>
    <row r="130" spans="19:20" x14ac:dyDescent="0.35">
      <c r="S130" s="1"/>
      <c r="T130" s="11"/>
    </row>
    <row r="131" spans="19:20" x14ac:dyDescent="0.35">
      <c r="S131" s="1"/>
      <c r="T131" s="11"/>
    </row>
    <row r="132" spans="19:20" x14ac:dyDescent="0.35">
      <c r="S132" s="1"/>
      <c r="T132" s="11"/>
    </row>
    <row r="133" spans="19:20" x14ac:dyDescent="0.35">
      <c r="S133" s="1"/>
      <c r="T133" s="11"/>
    </row>
    <row r="134" spans="19:20" x14ac:dyDescent="0.35">
      <c r="S134" s="1"/>
      <c r="T134" s="11"/>
    </row>
    <row r="135" spans="19:20" x14ac:dyDescent="0.35">
      <c r="S135" s="1"/>
      <c r="T135" s="11"/>
    </row>
    <row r="136" spans="19:20" x14ac:dyDescent="0.35">
      <c r="S136" s="1"/>
      <c r="T136" s="11"/>
    </row>
    <row r="137" spans="19:20" x14ac:dyDescent="0.35">
      <c r="S137" s="1"/>
      <c r="T137" s="11"/>
    </row>
    <row r="138" spans="19:20" x14ac:dyDescent="0.35">
      <c r="S138" s="1"/>
      <c r="T138" s="11"/>
    </row>
    <row r="139" spans="19:20" x14ac:dyDescent="0.35">
      <c r="S139" s="1"/>
      <c r="T139" s="11"/>
    </row>
    <row r="140" spans="19:20" x14ac:dyDescent="0.35">
      <c r="S140" s="1"/>
      <c r="T140" s="11"/>
    </row>
    <row r="141" spans="19:20" x14ac:dyDescent="0.35">
      <c r="S141" s="1"/>
      <c r="T141" s="11"/>
    </row>
    <row r="142" spans="19:20" x14ac:dyDescent="0.35">
      <c r="S142" s="1"/>
      <c r="T142" s="11"/>
    </row>
    <row r="143" spans="19:20" x14ac:dyDescent="0.35">
      <c r="S143" s="1"/>
      <c r="T143" s="11"/>
    </row>
    <row r="144" spans="19:20" x14ac:dyDescent="0.35">
      <c r="S144" s="1"/>
      <c r="T144" s="11"/>
    </row>
    <row r="145" spans="19:20" x14ac:dyDescent="0.35">
      <c r="S145" s="1"/>
      <c r="T145" s="11"/>
    </row>
    <row r="146" spans="19:20" x14ac:dyDescent="0.35">
      <c r="S146" s="1"/>
      <c r="T146" s="11"/>
    </row>
    <row r="147" spans="19:20" x14ac:dyDescent="0.35">
      <c r="S147" s="1"/>
      <c r="T147" s="11"/>
    </row>
    <row r="148" spans="19:20" x14ac:dyDescent="0.35">
      <c r="S148" s="1"/>
      <c r="T148" s="11"/>
    </row>
    <row r="149" spans="19:20" x14ac:dyDescent="0.35">
      <c r="S149" s="1"/>
      <c r="T149" s="11"/>
    </row>
    <row r="150" spans="19:20" x14ac:dyDescent="0.35">
      <c r="S150" s="1"/>
      <c r="T150" s="11"/>
    </row>
    <row r="151" spans="19:20" x14ac:dyDescent="0.35">
      <c r="S151" s="1"/>
      <c r="T151" s="11"/>
    </row>
    <row r="152" spans="19:20" x14ac:dyDescent="0.35">
      <c r="S152" s="1"/>
      <c r="T152" s="11"/>
    </row>
    <row r="153" spans="19:20" x14ac:dyDescent="0.35">
      <c r="S153" s="1"/>
      <c r="T153" s="11"/>
    </row>
    <row r="154" spans="19:20" x14ac:dyDescent="0.35">
      <c r="S154" s="1"/>
      <c r="T154" s="11"/>
    </row>
    <row r="155" spans="19:20" x14ac:dyDescent="0.35">
      <c r="S155" s="1"/>
      <c r="T155" s="11"/>
    </row>
    <row r="156" spans="19:20" x14ac:dyDescent="0.35">
      <c r="S156" s="1"/>
      <c r="T156" s="11"/>
    </row>
    <row r="157" spans="19:20" x14ac:dyDescent="0.35">
      <c r="S157" s="1"/>
      <c r="T157" s="11"/>
    </row>
    <row r="158" spans="19:20" x14ac:dyDescent="0.35">
      <c r="S158" s="1"/>
      <c r="T158" s="11"/>
    </row>
    <row r="159" spans="19:20" x14ac:dyDescent="0.35">
      <c r="S159" s="1"/>
      <c r="T159" s="11"/>
    </row>
    <row r="160" spans="19:20" x14ac:dyDescent="0.35">
      <c r="S160" s="1"/>
      <c r="T160" s="11"/>
    </row>
    <row r="161" spans="19:20" x14ac:dyDescent="0.35">
      <c r="S161" s="1"/>
      <c r="T161" s="11"/>
    </row>
    <row r="162" spans="19:20" x14ac:dyDescent="0.35">
      <c r="S162" s="1"/>
      <c r="T162" s="11"/>
    </row>
    <row r="163" spans="19:20" x14ac:dyDescent="0.35">
      <c r="S163" s="1"/>
      <c r="T163" s="11"/>
    </row>
    <row r="164" spans="19:20" x14ac:dyDescent="0.35">
      <c r="S164" s="1"/>
      <c r="T164" s="11"/>
    </row>
    <row r="165" spans="19:20" x14ac:dyDescent="0.35">
      <c r="S165" s="1"/>
      <c r="T165" s="11"/>
    </row>
    <row r="166" spans="19:20" x14ac:dyDescent="0.35">
      <c r="S166" s="1"/>
      <c r="T166" s="11"/>
    </row>
    <row r="167" spans="19:20" x14ac:dyDescent="0.35">
      <c r="S167" s="1"/>
      <c r="T167" s="11"/>
    </row>
    <row r="168" spans="19:20" x14ac:dyDescent="0.35">
      <c r="S168" s="1"/>
      <c r="T168" s="11"/>
    </row>
    <row r="169" spans="19:20" x14ac:dyDescent="0.35">
      <c r="S169" s="1"/>
      <c r="T169" s="11"/>
    </row>
    <row r="170" spans="19:20" x14ac:dyDescent="0.35">
      <c r="S170" s="1"/>
      <c r="T170" s="11"/>
    </row>
    <row r="171" spans="19:20" x14ac:dyDescent="0.35">
      <c r="S171" s="1"/>
      <c r="T171" s="11"/>
    </row>
    <row r="172" spans="19:20" x14ac:dyDescent="0.35">
      <c r="S172" s="1"/>
      <c r="T172" s="11"/>
    </row>
    <row r="173" spans="19:20" x14ac:dyDescent="0.35">
      <c r="S173" s="1"/>
      <c r="T173" s="11"/>
    </row>
    <row r="174" spans="19:20" x14ac:dyDescent="0.35">
      <c r="S174" s="1"/>
      <c r="T174" s="11"/>
    </row>
    <row r="175" spans="19:20" x14ac:dyDescent="0.35">
      <c r="S175" s="1"/>
      <c r="T175" s="11"/>
    </row>
    <row r="176" spans="19:20" x14ac:dyDescent="0.35">
      <c r="S176" s="1"/>
      <c r="T176" s="11"/>
    </row>
    <row r="177" spans="19:20" x14ac:dyDescent="0.35">
      <c r="S177" s="1"/>
      <c r="T177" s="11"/>
    </row>
    <row r="178" spans="19:20" x14ac:dyDescent="0.35">
      <c r="S178" s="1"/>
      <c r="T178" s="11"/>
    </row>
    <row r="179" spans="19:20" x14ac:dyDescent="0.35">
      <c r="S179" s="1"/>
      <c r="T179" s="11"/>
    </row>
    <row r="180" spans="19:20" x14ac:dyDescent="0.35">
      <c r="S180" s="1"/>
      <c r="T180" s="11"/>
    </row>
    <row r="181" spans="19:20" x14ac:dyDescent="0.35">
      <c r="S181" s="1"/>
      <c r="T181" s="11"/>
    </row>
    <row r="182" spans="19:20" x14ac:dyDescent="0.35">
      <c r="S182" s="1"/>
      <c r="T182" s="11"/>
    </row>
    <row r="183" spans="19:20" x14ac:dyDescent="0.35">
      <c r="S183" s="1"/>
      <c r="T183" s="11"/>
    </row>
    <row r="184" spans="19:20" x14ac:dyDescent="0.35">
      <c r="S184" s="1"/>
      <c r="T184" s="11"/>
    </row>
    <row r="185" spans="19:20" x14ac:dyDescent="0.35">
      <c r="S185" s="1"/>
      <c r="T185" s="11"/>
    </row>
    <row r="186" spans="19:20" x14ac:dyDescent="0.35">
      <c r="S186" s="1"/>
      <c r="T186" s="11"/>
    </row>
    <row r="187" spans="19:20" x14ac:dyDescent="0.35">
      <c r="S187" s="1"/>
      <c r="T187" s="11"/>
    </row>
    <row r="188" spans="19:20" x14ac:dyDescent="0.35">
      <c r="S188" s="1"/>
      <c r="T188" s="11"/>
    </row>
    <row r="189" spans="19:20" x14ac:dyDescent="0.35">
      <c r="S189" s="1"/>
      <c r="T189" s="11"/>
    </row>
    <row r="190" spans="19:20" x14ac:dyDescent="0.35">
      <c r="S190" s="1"/>
      <c r="T190" s="11"/>
    </row>
    <row r="191" spans="19:20" x14ac:dyDescent="0.35">
      <c r="S191" s="1"/>
      <c r="T191" s="11"/>
    </row>
    <row r="192" spans="19:20" x14ac:dyDescent="0.35">
      <c r="S192" s="1"/>
      <c r="T192" s="11"/>
    </row>
    <row r="193" spans="19:20" x14ac:dyDescent="0.35">
      <c r="S193" s="1"/>
      <c r="T193" s="11"/>
    </row>
    <row r="194" spans="19:20" x14ac:dyDescent="0.35">
      <c r="S194" s="1"/>
      <c r="T194" s="11"/>
    </row>
    <row r="195" spans="19:20" x14ac:dyDescent="0.35">
      <c r="S195" s="1"/>
      <c r="T195" s="11"/>
    </row>
    <row r="196" spans="19:20" x14ac:dyDescent="0.35">
      <c r="S196" s="1"/>
      <c r="T196" s="11"/>
    </row>
    <row r="197" spans="19:20" x14ac:dyDescent="0.35">
      <c r="S197" s="1"/>
      <c r="T197" s="11"/>
    </row>
    <row r="198" spans="19:20" x14ac:dyDescent="0.35">
      <c r="S198" s="1"/>
      <c r="T198" s="11"/>
    </row>
    <row r="199" spans="19:20" x14ac:dyDescent="0.35">
      <c r="S199" s="1"/>
      <c r="T199" s="11"/>
    </row>
    <row r="200" spans="19:20" x14ac:dyDescent="0.35">
      <c r="S200" s="1"/>
      <c r="T200" s="11"/>
    </row>
    <row r="201" spans="19:20" x14ac:dyDescent="0.35">
      <c r="S201" s="1"/>
      <c r="T201" s="11"/>
    </row>
    <row r="202" spans="19:20" x14ac:dyDescent="0.35">
      <c r="S202" s="1"/>
      <c r="T202" s="11"/>
    </row>
    <row r="203" spans="19:20" x14ac:dyDescent="0.35">
      <c r="S203" s="1"/>
      <c r="T203" s="11"/>
    </row>
    <row r="204" spans="19:20" x14ac:dyDescent="0.35">
      <c r="S204" s="1"/>
      <c r="T204" s="11"/>
    </row>
    <row r="205" spans="19:20" x14ac:dyDescent="0.35">
      <c r="S205" s="1"/>
      <c r="T205" s="11"/>
    </row>
    <row r="206" spans="19:20" x14ac:dyDescent="0.35">
      <c r="S206" s="1"/>
      <c r="T206" s="11"/>
    </row>
    <row r="207" spans="19:20" x14ac:dyDescent="0.35">
      <c r="S207" s="1"/>
      <c r="T207" s="11"/>
    </row>
    <row r="208" spans="19:20" x14ac:dyDescent="0.35">
      <c r="S208" s="1"/>
      <c r="T208" s="11"/>
    </row>
    <row r="209" spans="19:20" x14ac:dyDescent="0.35">
      <c r="S209" s="1"/>
      <c r="T209" s="11"/>
    </row>
    <row r="210" spans="19:20" x14ac:dyDescent="0.35">
      <c r="S210" s="1"/>
      <c r="T210" s="11"/>
    </row>
    <row r="211" spans="19:20" x14ac:dyDescent="0.35">
      <c r="S211" s="1"/>
      <c r="T211" s="11"/>
    </row>
    <row r="212" spans="19:20" x14ac:dyDescent="0.35">
      <c r="S212" s="1"/>
      <c r="T212" s="11"/>
    </row>
    <row r="213" spans="19:20" x14ac:dyDescent="0.35">
      <c r="S213" s="1"/>
      <c r="T213" s="11"/>
    </row>
    <row r="214" spans="19:20" x14ac:dyDescent="0.35">
      <c r="S214" s="1"/>
      <c r="T214" s="11"/>
    </row>
    <row r="215" spans="19:20" x14ac:dyDescent="0.35">
      <c r="S215" s="1"/>
      <c r="T215" s="11"/>
    </row>
    <row r="216" spans="19:20" x14ac:dyDescent="0.35">
      <c r="S216" s="1"/>
      <c r="T216" s="11"/>
    </row>
    <row r="217" spans="19:20" x14ac:dyDescent="0.35">
      <c r="S217" s="1"/>
      <c r="T217" s="11"/>
    </row>
    <row r="218" spans="19:20" x14ac:dyDescent="0.35">
      <c r="S218" s="1"/>
      <c r="T218" s="11"/>
    </row>
    <row r="219" spans="19:20" x14ac:dyDescent="0.35">
      <c r="S219" s="1"/>
      <c r="T219" s="11"/>
    </row>
    <row r="220" spans="19:20" x14ac:dyDescent="0.35">
      <c r="S220" s="1"/>
      <c r="T220" s="11"/>
    </row>
    <row r="221" spans="19:20" x14ac:dyDescent="0.35">
      <c r="S221" s="1"/>
      <c r="T221" s="11"/>
    </row>
    <row r="222" spans="19:20" x14ac:dyDescent="0.35">
      <c r="S222" s="1"/>
      <c r="T222" s="11"/>
    </row>
    <row r="223" spans="19:20" x14ac:dyDescent="0.35">
      <c r="S223" s="1"/>
      <c r="T223" s="11"/>
    </row>
    <row r="224" spans="19:20" x14ac:dyDescent="0.35">
      <c r="S224" s="1"/>
      <c r="T224" s="11"/>
    </row>
    <row r="225" spans="19:20" x14ac:dyDescent="0.35">
      <c r="S225" s="1"/>
      <c r="T225" s="11"/>
    </row>
    <row r="226" spans="19:20" x14ac:dyDescent="0.35">
      <c r="S226" s="1"/>
      <c r="T226" s="11"/>
    </row>
    <row r="227" spans="19:20" x14ac:dyDescent="0.35">
      <c r="S227" s="1"/>
      <c r="T227" s="11"/>
    </row>
    <row r="228" spans="19:20" x14ac:dyDescent="0.35">
      <c r="S228" s="1"/>
      <c r="T228" s="11"/>
    </row>
    <row r="229" spans="19:20" x14ac:dyDescent="0.35">
      <c r="S229" s="1"/>
      <c r="T229" s="11"/>
    </row>
    <row r="230" spans="19:20" x14ac:dyDescent="0.35">
      <c r="S230" s="1"/>
      <c r="T230" s="11"/>
    </row>
    <row r="231" spans="19:20" x14ac:dyDescent="0.35">
      <c r="S231" s="1"/>
      <c r="T231" s="11"/>
    </row>
    <row r="232" spans="19:20" x14ac:dyDescent="0.35">
      <c r="S232" s="1"/>
      <c r="T232" s="11"/>
    </row>
    <row r="233" spans="19:20" x14ac:dyDescent="0.35">
      <c r="S233" s="1"/>
      <c r="T233" s="11"/>
    </row>
    <row r="234" spans="19:20" x14ac:dyDescent="0.35">
      <c r="S234" s="1"/>
      <c r="T234" s="11"/>
    </row>
    <row r="235" spans="19:20" x14ac:dyDescent="0.35">
      <c r="S235" s="1"/>
      <c r="T235" s="11"/>
    </row>
    <row r="236" spans="19:20" x14ac:dyDescent="0.35">
      <c r="S236" s="1"/>
      <c r="T236" s="11"/>
    </row>
    <row r="237" spans="19:20" x14ac:dyDescent="0.35">
      <c r="S237" s="1"/>
      <c r="T237" s="11"/>
    </row>
    <row r="238" spans="19:20" x14ac:dyDescent="0.35">
      <c r="S238" s="1"/>
      <c r="T238" s="11"/>
    </row>
    <row r="239" spans="19:20" x14ac:dyDescent="0.35">
      <c r="S239" s="1"/>
      <c r="T239" s="11"/>
    </row>
    <row r="240" spans="19:20" x14ac:dyDescent="0.35">
      <c r="S240" s="1"/>
      <c r="T240" s="11"/>
    </row>
    <row r="241" spans="19:20" x14ac:dyDescent="0.35">
      <c r="S241" s="1"/>
      <c r="T241" s="11"/>
    </row>
    <row r="242" spans="19:20" x14ac:dyDescent="0.35">
      <c r="S242" s="1"/>
      <c r="T242" s="11"/>
    </row>
    <row r="243" spans="19:20" x14ac:dyDescent="0.35">
      <c r="S243" s="1"/>
      <c r="T243" s="11"/>
    </row>
    <row r="244" spans="19:20" x14ac:dyDescent="0.35">
      <c r="S244" s="1"/>
      <c r="T244" s="11"/>
    </row>
    <row r="245" spans="19:20" x14ac:dyDescent="0.35">
      <c r="S245" s="1"/>
      <c r="T245" s="11"/>
    </row>
    <row r="246" spans="19:20" x14ac:dyDescent="0.35">
      <c r="S246" s="1"/>
      <c r="T246" s="11"/>
    </row>
    <row r="247" spans="19:20" x14ac:dyDescent="0.35">
      <c r="S247" s="1"/>
      <c r="T247" s="11"/>
    </row>
    <row r="248" spans="19:20" x14ac:dyDescent="0.35">
      <c r="S248" s="1"/>
      <c r="T248" s="11"/>
    </row>
    <row r="249" spans="19:20" x14ac:dyDescent="0.35">
      <c r="S249" s="1"/>
      <c r="T249" s="11"/>
    </row>
    <row r="250" spans="19:20" x14ac:dyDescent="0.35">
      <c r="S250" s="1"/>
      <c r="T250" s="11"/>
    </row>
    <row r="251" spans="19:20" x14ac:dyDescent="0.35">
      <c r="S251" s="1"/>
      <c r="T251" s="11"/>
    </row>
    <row r="252" spans="19:20" x14ac:dyDescent="0.35">
      <c r="S252" s="1"/>
      <c r="T252" s="11"/>
    </row>
    <row r="253" spans="19:20" x14ac:dyDescent="0.35">
      <c r="S253" s="1"/>
      <c r="T253" s="11"/>
    </row>
    <row r="254" spans="19:20" x14ac:dyDescent="0.35">
      <c r="S254" s="1"/>
      <c r="T254" s="11"/>
    </row>
    <row r="255" spans="19:20" x14ac:dyDescent="0.35">
      <c r="S255" s="1"/>
      <c r="T255" s="11"/>
    </row>
    <row r="256" spans="19:20" x14ac:dyDescent="0.35">
      <c r="S256" s="1"/>
      <c r="T256" s="11"/>
    </row>
    <row r="257" spans="19:20" x14ac:dyDescent="0.35">
      <c r="S257" s="1"/>
      <c r="T257" s="11"/>
    </row>
    <row r="258" spans="19:20" x14ac:dyDescent="0.35">
      <c r="S258" s="1"/>
      <c r="T258" s="11"/>
    </row>
    <row r="259" spans="19:20" x14ac:dyDescent="0.35">
      <c r="S259" s="1"/>
      <c r="T259" s="11"/>
    </row>
    <row r="260" spans="19:20" x14ac:dyDescent="0.35">
      <c r="S260" s="1"/>
      <c r="T260" s="11"/>
    </row>
    <row r="261" spans="19:20" x14ac:dyDescent="0.35">
      <c r="S261" s="1"/>
      <c r="T261" s="11"/>
    </row>
    <row r="262" spans="19:20" x14ac:dyDescent="0.35">
      <c r="S262" s="1"/>
      <c r="T262" s="11"/>
    </row>
    <row r="263" spans="19:20" x14ac:dyDescent="0.35">
      <c r="S263" s="1"/>
      <c r="T263" s="11"/>
    </row>
    <row r="264" spans="19:20" x14ac:dyDescent="0.35">
      <c r="S264" s="1"/>
      <c r="T264" s="11"/>
    </row>
    <row r="265" spans="19:20" x14ac:dyDescent="0.35">
      <c r="S265" s="1"/>
      <c r="T265" s="11"/>
    </row>
    <row r="266" spans="19:20" x14ac:dyDescent="0.35">
      <c r="S266" s="1"/>
      <c r="T266" s="11"/>
    </row>
    <row r="267" spans="19:20" x14ac:dyDescent="0.35">
      <c r="S267" s="1"/>
      <c r="T267" s="11"/>
    </row>
    <row r="268" spans="19:20" x14ac:dyDescent="0.35">
      <c r="S268" s="1"/>
      <c r="T268" s="11"/>
    </row>
    <row r="269" spans="19:20" x14ac:dyDescent="0.35">
      <c r="S269" s="1"/>
      <c r="T269" s="11"/>
    </row>
    <row r="270" spans="19:20" x14ac:dyDescent="0.35">
      <c r="S270" s="1"/>
      <c r="T270" s="11"/>
    </row>
    <row r="271" spans="19:20" x14ac:dyDescent="0.35">
      <c r="S271" s="1"/>
      <c r="T271" s="11"/>
    </row>
    <row r="272" spans="19:20" x14ac:dyDescent="0.35">
      <c r="S272" s="1"/>
      <c r="T272" s="11"/>
    </row>
    <row r="273" spans="19:20" x14ac:dyDescent="0.35">
      <c r="S273" s="1"/>
      <c r="T273" s="11"/>
    </row>
    <row r="274" spans="19:20" x14ac:dyDescent="0.35">
      <c r="S274" s="1"/>
      <c r="T274" s="11"/>
    </row>
    <row r="275" spans="19:20" x14ac:dyDescent="0.35">
      <c r="S275" s="1"/>
      <c r="T275" s="11"/>
    </row>
    <row r="276" spans="19:20" x14ac:dyDescent="0.35">
      <c r="S276" s="1"/>
      <c r="T276" s="11"/>
    </row>
    <row r="277" spans="19:20" x14ac:dyDescent="0.35">
      <c r="S277" s="1"/>
      <c r="T277" s="11"/>
    </row>
    <row r="278" spans="19:20" x14ac:dyDescent="0.35">
      <c r="S278" s="1"/>
      <c r="T278" s="11"/>
    </row>
    <row r="279" spans="19:20" x14ac:dyDescent="0.35">
      <c r="S279" s="1"/>
      <c r="T279" s="11"/>
    </row>
    <row r="280" spans="19:20" x14ac:dyDescent="0.35">
      <c r="S280" s="1"/>
      <c r="T280" s="11"/>
    </row>
    <row r="281" spans="19:20" x14ac:dyDescent="0.35">
      <c r="S281" s="1"/>
      <c r="T281" s="11"/>
    </row>
    <row r="282" spans="19:20" x14ac:dyDescent="0.35">
      <c r="S282" s="1"/>
      <c r="T282" s="11"/>
    </row>
    <row r="283" spans="19:20" x14ac:dyDescent="0.35">
      <c r="S283" s="1"/>
      <c r="T283" s="11"/>
    </row>
    <row r="284" spans="19:20" x14ac:dyDescent="0.35">
      <c r="S284" s="1"/>
      <c r="T284" s="11"/>
    </row>
    <row r="285" spans="19:20" x14ac:dyDescent="0.35">
      <c r="S285" s="1"/>
      <c r="T285" s="11"/>
    </row>
    <row r="286" spans="19:20" x14ac:dyDescent="0.35">
      <c r="S286" s="1"/>
      <c r="T286" s="11"/>
    </row>
    <row r="287" spans="19:20" x14ac:dyDescent="0.35">
      <c r="S287" s="1"/>
      <c r="T287" s="11"/>
    </row>
    <row r="288" spans="19:20" x14ac:dyDescent="0.35">
      <c r="S288" s="1"/>
      <c r="T288" s="11"/>
    </row>
    <row r="289" spans="19:20" x14ac:dyDescent="0.35">
      <c r="S289" s="1"/>
      <c r="T289" s="11"/>
    </row>
    <row r="290" spans="19:20" x14ac:dyDescent="0.35">
      <c r="S290" s="1"/>
      <c r="T290" s="11"/>
    </row>
    <row r="291" spans="19:20" x14ac:dyDescent="0.35">
      <c r="S291" s="1"/>
      <c r="T291" s="11"/>
    </row>
    <row r="292" spans="19:20" x14ac:dyDescent="0.35">
      <c r="S292" s="1"/>
      <c r="T292" s="11"/>
    </row>
    <row r="293" spans="19:20" x14ac:dyDescent="0.35">
      <c r="S293" s="1"/>
      <c r="T293" s="11"/>
    </row>
    <row r="294" spans="19:20" x14ac:dyDescent="0.35">
      <c r="S294" s="1"/>
      <c r="T294" s="11"/>
    </row>
    <row r="295" spans="19:20" x14ac:dyDescent="0.35">
      <c r="S295" s="1"/>
      <c r="T295" s="11"/>
    </row>
    <row r="296" spans="19:20" x14ac:dyDescent="0.35">
      <c r="S296" s="1"/>
      <c r="T296" s="11"/>
    </row>
    <row r="297" spans="19:20" x14ac:dyDescent="0.35">
      <c r="S297" s="1"/>
      <c r="T297" s="11"/>
    </row>
    <row r="298" spans="19:20" x14ac:dyDescent="0.35">
      <c r="S298" s="1"/>
      <c r="T298" s="11"/>
    </row>
    <row r="299" spans="19:20" x14ac:dyDescent="0.35">
      <c r="S299" s="1"/>
      <c r="T299" s="11"/>
    </row>
    <row r="300" spans="19:20" x14ac:dyDescent="0.35">
      <c r="S300" s="1"/>
      <c r="T300" s="11"/>
    </row>
    <row r="301" spans="19:20" x14ac:dyDescent="0.35">
      <c r="S301" s="1"/>
      <c r="T301" s="11"/>
    </row>
    <row r="302" spans="19:20" x14ac:dyDescent="0.35">
      <c r="S302" s="1"/>
      <c r="T302" s="11"/>
    </row>
    <row r="303" spans="19:20" x14ac:dyDescent="0.35">
      <c r="S303" s="1"/>
      <c r="T303" s="11"/>
    </row>
    <row r="304" spans="19:20" x14ac:dyDescent="0.35">
      <c r="S304" s="1"/>
      <c r="T304" s="11"/>
    </row>
    <row r="305" spans="19:20" x14ac:dyDescent="0.35">
      <c r="S305" s="1"/>
      <c r="T305" s="11"/>
    </row>
    <row r="306" spans="19:20" x14ac:dyDescent="0.35">
      <c r="S306" s="1"/>
      <c r="T306" s="11"/>
    </row>
    <row r="307" spans="19:20" x14ac:dyDescent="0.35">
      <c r="S307" s="1"/>
      <c r="T307" s="11"/>
    </row>
    <row r="308" spans="19:20" x14ac:dyDescent="0.35">
      <c r="S308" s="1"/>
      <c r="T308" s="11"/>
    </row>
    <row r="309" spans="19:20" x14ac:dyDescent="0.35">
      <c r="S309" s="1"/>
      <c r="T309" s="11"/>
    </row>
    <row r="310" spans="19:20" x14ac:dyDescent="0.35">
      <c r="S310" s="1"/>
      <c r="T310" s="11"/>
    </row>
    <row r="311" spans="19:20" x14ac:dyDescent="0.35">
      <c r="S311" s="1"/>
      <c r="T311" s="11"/>
    </row>
    <row r="312" spans="19:20" x14ac:dyDescent="0.35">
      <c r="S312" s="1"/>
      <c r="T312" s="11"/>
    </row>
    <row r="313" spans="19:20" x14ac:dyDescent="0.35">
      <c r="S313" s="1"/>
      <c r="T313" s="11"/>
    </row>
    <row r="314" spans="19:20" x14ac:dyDescent="0.35">
      <c r="S314" s="1"/>
      <c r="T314" s="11"/>
    </row>
    <row r="315" spans="19:20" x14ac:dyDescent="0.35">
      <c r="S315" s="1"/>
      <c r="T315" s="11"/>
    </row>
    <row r="316" spans="19:20" x14ac:dyDescent="0.35">
      <c r="S316" s="1"/>
      <c r="T316" s="11"/>
    </row>
    <row r="317" spans="19:20" x14ac:dyDescent="0.35">
      <c r="S317" s="1"/>
      <c r="T317" s="11"/>
    </row>
    <row r="318" spans="19:20" x14ac:dyDescent="0.35">
      <c r="S318" s="1"/>
      <c r="T318" s="11"/>
    </row>
    <row r="319" spans="19:20" x14ac:dyDescent="0.35">
      <c r="S319" s="1"/>
      <c r="T319" s="11"/>
    </row>
    <row r="320" spans="19:20" x14ac:dyDescent="0.35">
      <c r="S320" s="1"/>
      <c r="T320" s="11"/>
    </row>
    <row r="321" spans="19:20" x14ac:dyDescent="0.35">
      <c r="S321" s="1"/>
      <c r="T321" s="11"/>
    </row>
    <row r="322" spans="19:20" x14ac:dyDescent="0.35">
      <c r="S322" s="1"/>
      <c r="T322" s="11"/>
    </row>
    <row r="323" spans="19:20" x14ac:dyDescent="0.35">
      <c r="S323" s="1"/>
      <c r="T323" s="11"/>
    </row>
    <row r="324" spans="19:20" x14ac:dyDescent="0.35">
      <c r="S324" s="1"/>
      <c r="T324" s="11"/>
    </row>
    <row r="325" spans="19:20" x14ac:dyDescent="0.35">
      <c r="S325" s="1"/>
      <c r="T325" s="11"/>
    </row>
    <row r="326" spans="19:20" x14ac:dyDescent="0.35">
      <c r="S326" s="1"/>
      <c r="T326" s="11"/>
    </row>
    <row r="327" spans="19:20" x14ac:dyDescent="0.35">
      <c r="S327" s="1"/>
      <c r="T327" s="11"/>
    </row>
    <row r="328" spans="19:20" x14ac:dyDescent="0.35">
      <c r="S328" s="1"/>
      <c r="T328" s="11"/>
    </row>
    <row r="329" spans="19:20" x14ac:dyDescent="0.35">
      <c r="S329" s="1"/>
      <c r="T329" s="11"/>
    </row>
    <row r="330" spans="19:20" x14ac:dyDescent="0.35">
      <c r="S330" s="1"/>
      <c r="T330" s="11"/>
    </row>
    <row r="331" spans="19:20" x14ac:dyDescent="0.35">
      <c r="S331" s="1"/>
      <c r="T331" s="11"/>
    </row>
    <row r="332" spans="19:20" x14ac:dyDescent="0.35">
      <c r="S332" s="1"/>
      <c r="T332" s="11"/>
    </row>
    <row r="333" spans="19:20" x14ac:dyDescent="0.35">
      <c r="S333" s="1"/>
      <c r="T333" s="11"/>
    </row>
    <row r="334" spans="19:20" x14ac:dyDescent="0.35">
      <c r="S334" s="1"/>
      <c r="T334" s="11"/>
    </row>
    <row r="335" spans="19:20" x14ac:dyDescent="0.35">
      <c r="S335" s="1"/>
      <c r="T335" s="11"/>
    </row>
    <row r="336" spans="19:20" x14ac:dyDescent="0.35">
      <c r="S336" s="1"/>
      <c r="T336" s="11"/>
    </row>
    <row r="337" spans="19:20" x14ac:dyDescent="0.35">
      <c r="S337" s="1"/>
      <c r="T337" s="11"/>
    </row>
    <row r="338" spans="19:20" x14ac:dyDescent="0.35">
      <c r="S338" s="1"/>
      <c r="T338" s="11"/>
    </row>
    <row r="339" spans="19:20" x14ac:dyDescent="0.35">
      <c r="S339" s="1"/>
      <c r="T339" s="11"/>
    </row>
    <row r="340" spans="19:20" x14ac:dyDescent="0.35">
      <c r="S340" s="1"/>
      <c r="T340" s="11"/>
    </row>
    <row r="341" spans="19:20" x14ac:dyDescent="0.35">
      <c r="S341" s="1"/>
      <c r="T341" s="11"/>
    </row>
    <row r="342" spans="19:20" x14ac:dyDescent="0.35">
      <c r="S342" s="1"/>
      <c r="T342" s="11"/>
    </row>
    <row r="343" spans="19:20" x14ac:dyDescent="0.35">
      <c r="S343" s="1"/>
      <c r="T343" s="11"/>
    </row>
    <row r="344" spans="19:20" x14ac:dyDescent="0.35">
      <c r="S344" s="1"/>
      <c r="T344" s="11"/>
    </row>
    <row r="345" spans="19:20" x14ac:dyDescent="0.35">
      <c r="S345" s="1"/>
      <c r="T345" s="11"/>
    </row>
    <row r="346" spans="19:20" x14ac:dyDescent="0.35">
      <c r="S346" s="1"/>
      <c r="T346" s="11"/>
    </row>
    <row r="347" spans="19:20" x14ac:dyDescent="0.35">
      <c r="S347" s="1"/>
      <c r="T347" s="11"/>
    </row>
    <row r="348" spans="19:20" x14ac:dyDescent="0.35">
      <c r="S348" s="1"/>
      <c r="T348" s="11"/>
    </row>
    <row r="349" spans="19:20" x14ac:dyDescent="0.35">
      <c r="S349" s="1"/>
      <c r="T349" s="11"/>
    </row>
    <row r="350" spans="19:20" x14ac:dyDescent="0.35">
      <c r="S350" s="1"/>
      <c r="T350" s="11"/>
    </row>
    <row r="351" spans="19:20" x14ac:dyDescent="0.35">
      <c r="S351" s="1"/>
      <c r="T351" s="11"/>
    </row>
    <row r="352" spans="19:20" x14ac:dyDescent="0.35">
      <c r="S352" s="1"/>
      <c r="T352" s="11"/>
    </row>
    <row r="353" spans="19:20" x14ac:dyDescent="0.35">
      <c r="S353" s="1"/>
      <c r="T353" s="11"/>
    </row>
    <row r="354" spans="19:20" x14ac:dyDescent="0.35">
      <c r="S354" s="1"/>
      <c r="T354" s="11"/>
    </row>
    <row r="355" spans="19:20" x14ac:dyDescent="0.35">
      <c r="S355" s="1"/>
      <c r="T355" s="11"/>
    </row>
    <row r="356" spans="19:20" x14ac:dyDescent="0.35">
      <c r="S356" s="1"/>
      <c r="T356" s="11"/>
    </row>
    <row r="357" spans="19:20" x14ac:dyDescent="0.35">
      <c r="S357" s="1"/>
      <c r="T357" s="11"/>
    </row>
    <row r="358" spans="19:20" x14ac:dyDescent="0.35">
      <c r="S358" s="1"/>
      <c r="T358" s="11"/>
    </row>
    <row r="359" spans="19:20" x14ac:dyDescent="0.35">
      <c r="S359" s="1"/>
      <c r="T359" s="11"/>
    </row>
    <row r="360" spans="19:20" x14ac:dyDescent="0.35">
      <c r="S360" s="1"/>
      <c r="T360" s="11"/>
    </row>
    <row r="361" spans="19:20" x14ac:dyDescent="0.35">
      <c r="S361" s="1"/>
      <c r="T361" s="11"/>
    </row>
    <row r="362" spans="19:20" x14ac:dyDescent="0.35">
      <c r="S362" s="1"/>
      <c r="T362" s="11"/>
    </row>
    <row r="363" spans="19:20" x14ac:dyDescent="0.35">
      <c r="S363" s="1"/>
      <c r="T363" s="11"/>
    </row>
    <row r="364" spans="19:20" x14ac:dyDescent="0.35">
      <c r="S364" s="1"/>
      <c r="T364" s="11"/>
    </row>
    <row r="365" spans="19:20" x14ac:dyDescent="0.35">
      <c r="S365" s="1"/>
      <c r="T365" s="11"/>
    </row>
    <row r="366" spans="19:20" x14ac:dyDescent="0.35">
      <c r="S366" s="1"/>
      <c r="T366" s="11"/>
    </row>
    <row r="367" spans="19:20" x14ac:dyDescent="0.35">
      <c r="S367" s="1"/>
      <c r="T367" s="11"/>
    </row>
    <row r="368" spans="19:20" x14ac:dyDescent="0.35">
      <c r="S368" s="1"/>
      <c r="T368" s="11"/>
    </row>
    <row r="369" spans="19:20" x14ac:dyDescent="0.35">
      <c r="S369" s="1"/>
      <c r="T369" s="11"/>
    </row>
    <row r="370" spans="19:20" x14ac:dyDescent="0.35">
      <c r="S370" s="1"/>
      <c r="T370" s="11"/>
    </row>
    <row r="371" spans="19:20" x14ac:dyDescent="0.35">
      <c r="S371" s="1"/>
      <c r="T371" s="11"/>
    </row>
    <row r="372" spans="19:20" x14ac:dyDescent="0.35">
      <c r="S372" s="1"/>
      <c r="T372" s="11"/>
    </row>
    <row r="373" spans="19:20" x14ac:dyDescent="0.35">
      <c r="S373" s="1"/>
      <c r="T373" s="11"/>
    </row>
    <row r="374" spans="19:20" x14ac:dyDescent="0.35">
      <c r="S374" s="1"/>
      <c r="T374" s="11"/>
    </row>
    <row r="375" spans="19:20" x14ac:dyDescent="0.35">
      <c r="S375" s="1"/>
      <c r="T375" s="11"/>
    </row>
    <row r="376" spans="19:20" x14ac:dyDescent="0.35">
      <c r="S376" s="1"/>
      <c r="T376" s="11"/>
    </row>
    <row r="377" spans="19:20" x14ac:dyDescent="0.35">
      <c r="S377" s="1"/>
      <c r="T377" s="11"/>
    </row>
    <row r="378" spans="19:20" x14ac:dyDescent="0.35">
      <c r="S378" s="1"/>
      <c r="T378" s="11"/>
    </row>
    <row r="379" spans="19:20" x14ac:dyDescent="0.35">
      <c r="S379" s="1"/>
      <c r="T379" s="11"/>
    </row>
    <row r="380" spans="19:20" x14ac:dyDescent="0.35">
      <c r="S380" s="1"/>
      <c r="T380" s="11"/>
    </row>
    <row r="381" spans="19:20" x14ac:dyDescent="0.35">
      <c r="S381" s="1"/>
      <c r="T381" s="11"/>
    </row>
    <row r="382" spans="19:20" x14ac:dyDescent="0.35">
      <c r="S382" s="1"/>
      <c r="T382" s="11"/>
    </row>
    <row r="383" spans="19:20" x14ac:dyDescent="0.35">
      <c r="S383" s="1"/>
      <c r="T383" s="11"/>
    </row>
    <row r="384" spans="19:20" x14ac:dyDescent="0.35">
      <c r="S384" s="1"/>
      <c r="T384" s="11"/>
    </row>
    <row r="385" spans="19:20" x14ac:dyDescent="0.35">
      <c r="S385" s="1"/>
      <c r="T385" s="11"/>
    </row>
    <row r="386" spans="19:20" x14ac:dyDescent="0.35">
      <c r="S386" s="1"/>
      <c r="T386" s="11"/>
    </row>
    <row r="387" spans="19:20" x14ac:dyDescent="0.35">
      <c r="S387" s="1"/>
      <c r="T387" s="11"/>
    </row>
    <row r="388" spans="19:20" x14ac:dyDescent="0.35">
      <c r="S388" s="1"/>
      <c r="T388" s="11"/>
    </row>
    <row r="389" spans="19:20" x14ac:dyDescent="0.35">
      <c r="S389" s="1"/>
      <c r="T389" s="11"/>
    </row>
    <row r="390" spans="19:20" x14ac:dyDescent="0.35">
      <c r="S390" s="1"/>
      <c r="T390" s="11"/>
    </row>
    <row r="391" spans="19:20" x14ac:dyDescent="0.35">
      <c r="S391" s="1"/>
      <c r="T391" s="11"/>
    </row>
    <row r="392" spans="19:20" x14ac:dyDescent="0.35">
      <c r="S392" s="1"/>
      <c r="T392" s="11"/>
    </row>
    <row r="393" spans="19:20" x14ac:dyDescent="0.35">
      <c r="S393" s="1"/>
      <c r="T393" s="11"/>
    </row>
    <row r="394" spans="19:20" x14ac:dyDescent="0.35">
      <c r="S394" s="1"/>
      <c r="T394" s="11"/>
    </row>
    <row r="395" spans="19:20" x14ac:dyDescent="0.35">
      <c r="S395" s="1"/>
      <c r="T395" s="11"/>
    </row>
    <row r="396" spans="19:20" x14ac:dyDescent="0.35">
      <c r="S396" s="1"/>
      <c r="T396" s="11"/>
    </row>
    <row r="397" spans="19:20" x14ac:dyDescent="0.35">
      <c r="S397" s="1"/>
      <c r="T397" s="11"/>
    </row>
    <row r="398" spans="19:20" x14ac:dyDescent="0.35">
      <c r="S398" s="1"/>
      <c r="T398" s="11"/>
    </row>
    <row r="399" spans="19:20" x14ac:dyDescent="0.35">
      <c r="S399" s="1"/>
      <c r="T399" s="11"/>
    </row>
    <row r="400" spans="19:20" x14ac:dyDescent="0.35">
      <c r="S400" s="1"/>
      <c r="T400" s="11"/>
    </row>
    <row r="401" spans="19:20" x14ac:dyDescent="0.35">
      <c r="S401" s="1"/>
      <c r="T401" s="11"/>
    </row>
    <row r="402" spans="19:20" x14ac:dyDescent="0.35">
      <c r="S402" s="1"/>
      <c r="T402" s="11"/>
    </row>
    <row r="403" spans="19:20" x14ac:dyDescent="0.35">
      <c r="S403" s="1"/>
      <c r="T403" s="11"/>
    </row>
    <row r="404" spans="19:20" x14ac:dyDescent="0.35">
      <c r="S404" s="1"/>
      <c r="T404" s="11"/>
    </row>
    <row r="405" spans="19:20" x14ac:dyDescent="0.35">
      <c r="S405" s="1"/>
      <c r="T405" s="11"/>
    </row>
    <row r="406" spans="19:20" x14ac:dyDescent="0.35">
      <c r="S406" s="1"/>
      <c r="T406" s="11"/>
    </row>
    <row r="407" spans="19:20" x14ac:dyDescent="0.35">
      <c r="S407" s="1"/>
      <c r="T407" s="11"/>
    </row>
    <row r="408" spans="19:20" x14ac:dyDescent="0.35">
      <c r="S408" s="1"/>
      <c r="T408" s="11"/>
    </row>
    <row r="409" spans="19:20" x14ac:dyDescent="0.35">
      <c r="S409" s="1"/>
      <c r="T409" s="11"/>
    </row>
    <row r="410" spans="19:20" x14ac:dyDescent="0.35">
      <c r="S410" s="1"/>
      <c r="T410" s="11"/>
    </row>
    <row r="411" spans="19:20" x14ac:dyDescent="0.35">
      <c r="S411" s="1"/>
      <c r="T411" s="11"/>
    </row>
    <row r="412" spans="19:20" x14ac:dyDescent="0.35">
      <c r="S412" s="1"/>
      <c r="T412" s="11"/>
    </row>
    <row r="413" spans="19:20" x14ac:dyDescent="0.35">
      <c r="S413" s="1"/>
      <c r="T413" s="11"/>
    </row>
    <row r="414" spans="19:20" x14ac:dyDescent="0.35">
      <c r="S414" s="1"/>
      <c r="T414" s="11"/>
    </row>
    <row r="415" spans="19:20" x14ac:dyDescent="0.35">
      <c r="S415" s="1"/>
      <c r="T415" s="11"/>
    </row>
    <row r="416" spans="19:20" x14ac:dyDescent="0.35">
      <c r="S416" s="1"/>
      <c r="T416" s="11"/>
    </row>
    <row r="417" spans="19:20" x14ac:dyDescent="0.35">
      <c r="S417" s="1"/>
      <c r="T417" s="11"/>
    </row>
    <row r="418" spans="19:20" x14ac:dyDescent="0.35">
      <c r="S418" s="1"/>
      <c r="T418" s="11"/>
    </row>
    <row r="419" spans="19:20" x14ac:dyDescent="0.35">
      <c r="S419" s="1"/>
      <c r="T419" s="11"/>
    </row>
    <row r="420" spans="19:20" x14ac:dyDescent="0.35">
      <c r="S420" s="1"/>
      <c r="T420" s="11"/>
    </row>
    <row r="421" spans="19:20" x14ac:dyDescent="0.35">
      <c r="S421" s="1"/>
      <c r="T421" s="11"/>
    </row>
    <row r="422" spans="19:20" x14ac:dyDescent="0.35">
      <c r="S422" s="1"/>
      <c r="T422" s="11"/>
    </row>
    <row r="423" spans="19:20" x14ac:dyDescent="0.35">
      <c r="S423" s="1"/>
      <c r="T423" s="11"/>
    </row>
    <row r="424" spans="19:20" x14ac:dyDescent="0.35">
      <c r="S424" s="1"/>
      <c r="T424" s="11"/>
    </row>
    <row r="425" spans="19:20" x14ac:dyDescent="0.35">
      <c r="S425" s="1"/>
      <c r="T425" s="11"/>
    </row>
    <row r="426" spans="19:20" x14ac:dyDescent="0.35">
      <c r="S426" s="1"/>
      <c r="T426" s="11"/>
    </row>
    <row r="427" spans="19:20" x14ac:dyDescent="0.35">
      <c r="S427" s="1"/>
      <c r="T427" s="11"/>
    </row>
    <row r="428" spans="19:20" x14ac:dyDescent="0.35">
      <c r="S428" s="1"/>
      <c r="T428" s="11"/>
    </row>
    <row r="429" spans="19:20" x14ac:dyDescent="0.35">
      <c r="S429" s="1"/>
      <c r="T429" s="11"/>
    </row>
    <row r="430" spans="19:20" x14ac:dyDescent="0.35">
      <c r="S430" s="1"/>
      <c r="T430" s="11"/>
    </row>
    <row r="431" spans="19:20" x14ac:dyDescent="0.35">
      <c r="S431" s="1"/>
      <c r="T431" s="11"/>
    </row>
    <row r="432" spans="19:20" x14ac:dyDescent="0.35">
      <c r="S432" s="1"/>
      <c r="T432" s="11"/>
    </row>
    <row r="433" spans="19:20" x14ac:dyDescent="0.35">
      <c r="S433" s="1"/>
      <c r="T433" s="11"/>
    </row>
    <row r="434" spans="19:20" x14ac:dyDescent="0.35">
      <c r="S434" s="1"/>
      <c r="T434" s="11"/>
    </row>
    <row r="435" spans="19:20" x14ac:dyDescent="0.35">
      <c r="S435" s="1"/>
      <c r="T435" s="11"/>
    </row>
    <row r="436" spans="19:20" x14ac:dyDescent="0.35">
      <c r="S436" s="1"/>
      <c r="T436" s="11"/>
    </row>
    <row r="437" spans="19:20" x14ac:dyDescent="0.35">
      <c r="S437" s="1"/>
      <c r="T437" s="11"/>
    </row>
    <row r="438" spans="19:20" x14ac:dyDescent="0.35">
      <c r="S438" s="1"/>
      <c r="T438" s="11"/>
    </row>
    <row r="439" spans="19:20" x14ac:dyDescent="0.35">
      <c r="S439" s="1"/>
      <c r="T439" s="11"/>
    </row>
    <row r="440" spans="19:20" x14ac:dyDescent="0.35">
      <c r="S440" s="1"/>
      <c r="T440" s="11"/>
    </row>
    <row r="441" spans="19:20" x14ac:dyDescent="0.35">
      <c r="S441" s="1"/>
      <c r="T441" s="11"/>
    </row>
    <row r="442" spans="19:20" x14ac:dyDescent="0.35">
      <c r="S442" s="1"/>
      <c r="T442" s="11"/>
    </row>
    <row r="443" spans="19:20" x14ac:dyDescent="0.35">
      <c r="S443" s="1"/>
      <c r="T443" s="11"/>
    </row>
    <row r="444" spans="19:20" x14ac:dyDescent="0.35">
      <c r="S444" s="1"/>
      <c r="T444" s="11"/>
    </row>
    <row r="445" spans="19:20" x14ac:dyDescent="0.35">
      <c r="S445" s="1"/>
      <c r="T445" s="11"/>
    </row>
    <row r="446" spans="19:20" x14ac:dyDescent="0.35">
      <c r="S446" s="1"/>
      <c r="T446" s="11"/>
    </row>
    <row r="447" spans="19:20" x14ac:dyDescent="0.35">
      <c r="S447" s="1"/>
      <c r="T447" s="11"/>
    </row>
    <row r="448" spans="19:20" x14ac:dyDescent="0.35">
      <c r="S448" s="1"/>
      <c r="T448" s="11"/>
    </row>
    <row r="449" spans="19:20" x14ac:dyDescent="0.35">
      <c r="S449" s="1"/>
      <c r="T449" s="11"/>
    </row>
    <row r="450" spans="19:20" x14ac:dyDescent="0.35">
      <c r="S450" s="1"/>
      <c r="T450" s="11"/>
    </row>
    <row r="451" spans="19:20" x14ac:dyDescent="0.35">
      <c r="S451" s="1"/>
      <c r="T451" s="11"/>
    </row>
    <row r="452" spans="19:20" x14ac:dyDescent="0.35">
      <c r="S452" s="1"/>
      <c r="T452" s="11"/>
    </row>
    <row r="453" spans="19:20" x14ac:dyDescent="0.35">
      <c r="S453" s="1"/>
      <c r="T453" s="11"/>
    </row>
    <row r="454" spans="19:20" x14ac:dyDescent="0.35">
      <c r="S454" s="1"/>
      <c r="T454" s="11"/>
    </row>
    <row r="455" spans="19:20" x14ac:dyDescent="0.35">
      <c r="S455" s="1"/>
      <c r="T455" s="11"/>
    </row>
    <row r="456" spans="19:20" x14ac:dyDescent="0.35">
      <c r="S456" s="1"/>
      <c r="T456" s="11"/>
    </row>
    <row r="457" spans="19:20" x14ac:dyDescent="0.35">
      <c r="S457" s="1"/>
      <c r="T457" s="11"/>
    </row>
    <row r="458" spans="19:20" x14ac:dyDescent="0.35">
      <c r="S458" s="1"/>
      <c r="T458" s="11"/>
    </row>
    <row r="459" spans="19:20" x14ac:dyDescent="0.35">
      <c r="S459" s="1"/>
      <c r="T459" s="11"/>
    </row>
    <row r="460" spans="19:20" x14ac:dyDescent="0.35">
      <c r="S460" s="1"/>
      <c r="T460" s="11"/>
    </row>
    <row r="461" spans="19:20" x14ac:dyDescent="0.35">
      <c r="S461" s="1"/>
      <c r="T461" s="11"/>
    </row>
    <row r="462" spans="19:20" x14ac:dyDescent="0.35">
      <c r="S462" s="1"/>
      <c r="T462" s="11"/>
    </row>
    <row r="463" spans="19:20" x14ac:dyDescent="0.35">
      <c r="S463" s="1"/>
      <c r="T463" s="11"/>
    </row>
    <row r="464" spans="19:20" x14ac:dyDescent="0.35">
      <c r="S464" s="1"/>
      <c r="T464" s="11"/>
    </row>
    <row r="465" spans="19:20" x14ac:dyDescent="0.35">
      <c r="S465" s="1"/>
      <c r="T465" s="11"/>
    </row>
    <row r="466" spans="19:20" x14ac:dyDescent="0.35">
      <c r="S466" s="1"/>
      <c r="T466" s="11"/>
    </row>
    <row r="467" spans="19:20" x14ac:dyDescent="0.35">
      <c r="S467" s="1"/>
      <c r="T467" s="11"/>
    </row>
    <row r="468" spans="19:20" x14ac:dyDescent="0.35">
      <c r="S468" s="1"/>
      <c r="T468" s="11"/>
    </row>
    <row r="469" spans="19:20" x14ac:dyDescent="0.35">
      <c r="S469" s="1"/>
      <c r="T469" s="11"/>
    </row>
    <row r="470" spans="19:20" x14ac:dyDescent="0.35">
      <c r="S470" s="1"/>
      <c r="T470" s="11"/>
    </row>
    <row r="471" spans="19:20" x14ac:dyDescent="0.35">
      <c r="S471" s="1"/>
      <c r="T471" s="11"/>
    </row>
    <row r="472" spans="19:20" x14ac:dyDescent="0.35">
      <c r="S472" s="1"/>
      <c r="T472" s="11"/>
    </row>
    <row r="473" spans="19:20" x14ac:dyDescent="0.35">
      <c r="S473" s="1"/>
      <c r="T473" s="11"/>
    </row>
    <row r="474" spans="19:20" x14ac:dyDescent="0.35">
      <c r="S474" s="1"/>
      <c r="T474" s="11"/>
    </row>
    <row r="475" spans="19:20" x14ac:dyDescent="0.35">
      <c r="S475" s="1"/>
      <c r="T475" s="11"/>
    </row>
    <row r="476" spans="19:20" x14ac:dyDescent="0.35">
      <c r="S476" s="1"/>
      <c r="T476" s="11"/>
    </row>
    <row r="477" spans="19:20" x14ac:dyDescent="0.35">
      <c r="S477" s="1"/>
      <c r="T477" s="11"/>
    </row>
    <row r="478" spans="19:20" x14ac:dyDescent="0.35">
      <c r="S478" s="1"/>
      <c r="T478" s="11"/>
    </row>
    <row r="479" spans="19:20" x14ac:dyDescent="0.35">
      <c r="S479" s="1"/>
      <c r="T479" s="11"/>
    </row>
    <row r="480" spans="19:20" x14ac:dyDescent="0.35">
      <c r="S480" s="1"/>
      <c r="T480" s="11"/>
    </row>
    <row r="481" spans="19:20" x14ac:dyDescent="0.35">
      <c r="S481" s="1"/>
      <c r="T481" s="11"/>
    </row>
    <row r="482" spans="19:20" x14ac:dyDescent="0.35">
      <c r="S482" s="1"/>
      <c r="T482" s="11"/>
    </row>
    <row r="483" spans="19:20" x14ac:dyDescent="0.35">
      <c r="S483" s="1"/>
      <c r="T483" s="11"/>
    </row>
    <row r="484" spans="19:20" x14ac:dyDescent="0.35">
      <c r="S484" s="1"/>
      <c r="T484" s="11"/>
    </row>
    <row r="485" spans="19:20" x14ac:dyDescent="0.35">
      <c r="S485" s="1"/>
      <c r="T485" s="11"/>
    </row>
    <row r="486" spans="19:20" x14ac:dyDescent="0.35">
      <c r="S486" s="1"/>
      <c r="T486" s="11"/>
    </row>
    <row r="487" spans="19:20" x14ac:dyDescent="0.35">
      <c r="S487" s="1"/>
      <c r="T487" s="11"/>
    </row>
    <row r="488" spans="19:20" x14ac:dyDescent="0.35">
      <c r="S488" s="1"/>
      <c r="T488" s="11"/>
    </row>
    <row r="489" spans="19:20" x14ac:dyDescent="0.35">
      <c r="S489" s="1"/>
      <c r="T489" s="11"/>
    </row>
    <row r="490" spans="19:20" x14ac:dyDescent="0.35">
      <c r="S490" s="1"/>
      <c r="T490" s="11"/>
    </row>
    <row r="491" spans="19:20" x14ac:dyDescent="0.35">
      <c r="S491" s="1"/>
      <c r="T491" s="11"/>
    </row>
    <row r="492" spans="19:20" x14ac:dyDescent="0.35">
      <c r="S492" s="1"/>
      <c r="T492" s="11"/>
    </row>
    <row r="493" spans="19:20" x14ac:dyDescent="0.35">
      <c r="S493" s="1"/>
      <c r="T493" s="11"/>
    </row>
    <row r="494" spans="19:20" x14ac:dyDescent="0.35">
      <c r="S494" s="1"/>
      <c r="T494" s="11"/>
    </row>
    <row r="495" spans="19:20" x14ac:dyDescent="0.35">
      <c r="S495" s="1"/>
      <c r="T495" s="11"/>
    </row>
    <row r="496" spans="19:20" x14ac:dyDescent="0.35">
      <c r="S496" s="1"/>
      <c r="T496" s="11"/>
    </row>
    <row r="497" spans="19:20" x14ac:dyDescent="0.35">
      <c r="S497" s="1"/>
      <c r="T497" s="11"/>
    </row>
    <row r="498" spans="19:20" x14ac:dyDescent="0.35">
      <c r="S498" s="1"/>
      <c r="T498" s="11"/>
    </row>
    <row r="499" spans="19:20" x14ac:dyDescent="0.35">
      <c r="S499" s="1"/>
      <c r="T499" s="11"/>
    </row>
    <row r="500" spans="19:20" x14ac:dyDescent="0.35">
      <c r="S500" s="1"/>
      <c r="T500" s="11"/>
    </row>
    <row r="501" spans="19:20" x14ac:dyDescent="0.35">
      <c r="S501" s="1"/>
      <c r="T501" s="11"/>
    </row>
    <row r="502" spans="19:20" x14ac:dyDescent="0.35">
      <c r="S502" s="1"/>
      <c r="T502" s="11"/>
    </row>
    <row r="503" spans="19:20" x14ac:dyDescent="0.35">
      <c r="S503" s="1"/>
      <c r="T503" s="11"/>
    </row>
    <row r="504" spans="19:20" x14ac:dyDescent="0.35">
      <c r="S504" s="1"/>
      <c r="T504" s="11"/>
    </row>
    <row r="505" spans="19:20" x14ac:dyDescent="0.35">
      <c r="S505" s="1"/>
      <c r="T505" s="11"/>
    </row>
    <row r="506" spans="19:20" x14ac:dyDescent="0.35">
      <c r="S506" s="1"/>
      <c r="T506" s="11"/>
    </row>
    <row r="507" spans="19:20" x14ac:dyDescent="0.35">
      <c r="S507" s="1"/>
      <c r="T507" s="11"/>
    </row>
    <row r="508" spans="19:20" x14ac:dyDescent="0.35">
      <c r="S508" s="1"/>
      <c r="T508" s="11"/>
    </row>
    <row r="509" spans="19:20" x14ac:dyDescent="0.35">
      <c r="S509" s="1"/>
      <c r="T509" s="11"/>
    </row>
    <row r="510" spans="19:20" x14ac:dyDescent="0.35">
      <c r="S510" s="1"/>
      <c r="T510" s="11"/>
    </row>
    <row r="511" spans="19:20" x14ac:dyDescent="0.35">
      <c r="S511" s="1"/>
      <c r="T511" s="11"/>
    </row>
    <row r="512" spans="19:20" x14ac:dyDescent="0.35">
      <c r="S512" s="1"/>
      <c r="T512" s="11"/>
    </row>
    <row r="513" spans="19:20" x14ac:dyDescent="0.35">
      <c r="S513" s="1"/>
      <c r="T513" s="11"/>
    </row>
    <row r="514" spans="19:20" x14ac:dyDescent="0.35">
      <c r="S514" s="1"/>
      <c r="T514" s="11"/>
    </row>
    <row r="515" spans="19:20" x14ac:dyDescent="0.35">
      <c r="S515" s="1"/>
      <c r="T515" s="11"/>
    </row>
    <row r="516" spans="19:20" x14ac:dyDescent="0.35">
      <c r="S516" s="1"/>
      <c r="T516" s="11"/>
    </row>
    <row r="517" spans="19:20" x14ac:dyDescent="0.35">
      <c r="S517" s="1"/>
      <c r="T517" s="11"/>
    </row>
    <row r="518" spans="19:20" x14ac:dyDescent="0.35">
      <c r="S518" s="1"/>
      <c r="T518" s="11"/>
    </row>
    <row r="519" spans="19:20" x14ac:dyDescent="0.35">
      <c r="S519" s="1"/>
      <c r="T519" s="11"/>
    </row>
    <row r="520" spans="19:20" x14ac:dyDescent="0.35">
      <c r="S520" s="1"/>
      <c r="T520" s="11"/>
    </row>
    <row r="521" spans="19:20" x14ac:dyDescent="0.35">
      <c r="S521" s="1"/>
      <c r="T521" s="11"/>
    </row>
    <row r="522" spans="19:20" x14ac:dyDescent="0.35">
      <c r="S522" s="1"/>
      <c r="T522" s="11"/>
    </row>
    <row r="523" spans="19:20" x14ac:dyDescent="0.35">
      <c r="S523" s="1"/>
      <c r="T523" s="11"/>
    </row>
    <row r="524" spans="19:20" x14ac:dyDescent="0.35">
      <c r="S524" s="1"/>
      <c r="T524" s="11"/>
    </row>
    <row r="525" spans="19:20" x14ac:dyDescent="0.35">
      <c r="S525" s="1"/>
      <c r="T525" s="11"/>
    </row>
    <row r="526" spans="19:20" x14ac:dyDescent="0.35">
      <c r="S526" s="1"/>
      <c r="T526" s="11"/>
    </row>
    <row r="527" spans="19:20" x14ac:dyDescent="0.35">
      <c r="S527" s="1"/>
      <c r="T527" s="11"/>
    </row>
    <row r="528" spans="19:20" x14ac:dyDescent="0.35">
      <c r="S528" s="1"/>
      <c r="T528" s="11"/>
    </row>
    <row r="529" spans="19:20" x14ac:dyDescent="0.35">
      <c r="S529" s="1"/>
      <c r="T529" s="11"/>
    </row>
    <row r="530" spans="19:20" x14ac:dyDescent="0.35">
      <c r="S530" s="1"/>
      <c r="T530" s="11"/>
    </row>
    <row r="531" spans="19:20" x14ac:dyDescent="0.35">
      <c r="S531" s="1"/>
      <c r="T531" s="11"/>
    </row>
    <row r="532" spans="19:20" x14ac:dyDescent="0.35">
      <c r="S532" s="1"/>
      <c r="T532" s="11"/>
    </row>
    <row r="533" spans="19:20" x14ac:dyDescent="0.35">
      <c r="S533" s="1"/>
      <c r="T533" s="11"/>
    </row>
    <row r="534" spans="19:20" x14ac:dyDescent="0.35">
      <c r="S534" s="1"/>
      <c r="T534" s="11"/>
    </row>
    <row r="535" spans="19:20" x14ac:dyDescent="0.35">
      <c r="S535" s="1"/>
      <c r="T535" s="11"/>
    </row>
    <row r="536" spans="19:20" x14ac:dyDescent="0.35">
      <c r="S536" s="1"/>
      <c r="T536" s="11"/>
    </row>
    <row r="537" spans="19:20" x14ac:dyDescent="0.35">
      <c r="S537" s="1"/>
      <c r="T537" s="11"/>
    </row>
    <row r="538" spans="19:20" x14ac:dyDescent="0.35">
      <c r="S538" s="1"/>
      <c r="T538" s="11"/>
    </row>
    <row r="539" spans="19:20" x14ac:dyDescent="0.35">
      <c r="S539" s="1"/>
      <c r="T539" s="11"/>
    </row>
    <row r="540" spans="19:20" x14ac:dyDescent="0.35">
      <c r="S540" s="1"/>
      <c r="T540" s="11"/>
    </row>
    <row r="541" spans="19:20" x14ac:dyDescent="0.35">
      <c r="S541" s="1"/>
      <c r="T541" s="11"/>
    </row>
    <row r="542" spans="19:20" x14ac:dyDescent="0.35">
      <c r="S542" s="1"/>
      <c r="T542" s="11"/>
    </row>
    <row r="543" spans="19:20" x14ac:dyDescent="0.35">
      <c r="S543" s="1"/>
      <c r="T543" s="11"/>
    </row>
    <row r="544" spans="19:20" x14ac:dyDescent="0.35">
      <c r="S544" s="1"/>
      <c r="T544" s="11"/>
    </row>
    <row r="545" spans="19:20" x14ac:dyDescent="0.35">
      <c r="S545" s="1"/>
      <c r="T545" s="11"/>
    </row>
    <row r="546" spans="19:20" x14ac:dyDescent="0.35">
      <c r="S546" s="1"/>
      <c r="T546" s="11"/>
    </row>
    <row r="547" spans="19:20" x14ac:dyDescent="0.35">
      <c r="S547" s="1"/>
      <c r="T547" s="11"/>
    </row>
    <row r="548" spans="19:20" x14ac:dyDescent="0.35">
      <c r="S548" s="1"/>
      <c r="T548" s="11"/>
    </row>
    <row r="549" spans="19:20" x14ac:dyDescent="0.35">
      <c r="S549" s="1"/>
      <c r="T549" s="11"/>
    </row>
    <row r="550" spans="19:20" x14ac:dyDescent="0.35">
      <c r="S550" s="1"/>
      <c r="T550" s="11"/>
    </row>
    <row r="551" spans="19:20" x14ac:dyDescent="0.35">
      <c r="S551" s="1"/>
      <c r="T551" s="11"/>
    </row>
    <row r="552" spans="19:20" x14ac:dyDescent="0.35">
      <c r="S552" s="1"/>
      <c r="T552" s="11"/>
    </row>
    <row r="553" spans="19:20" x14ac:dyDescent="0.35">
      <c r="S553" s="1"/>
      <c r="T553" s="11"/>
    </row>
    <row r="554" spans="19:20" x14ac:dyDescent="0.35">
      <c r="S554" s="1"/>
      <c r="T554" s="11"/>
    </row>
    <row r="555" spans="19:20" x14ac:dyDescent="0.35">
      <c r="S555" s="1"/>
      <c r="T555" s="11"/>
    </row>
    <row r="556" spans="19:20" x14ac:dyDescent="0.35">
      <c r="S556" s="1"/>
      <c r="T556" s="11"/>
    </row>
    <row r="557" spans="19:20" x14ac:dyDescent="0.35">
      <c r="S557" s="1"/>
      <c r="T557" s="11"/>
    </row>
    <row r="558" spans="19:20" x14ac:dyDescent="0.35">
      <c r="S558" s="1"/>
      <c r="T558" s="11"/>
    </row>
    <row r="559" spans="19:20" x14ac:dyDescent="0.35">
      <c r="S559" s="1"/>
      <c r="T559" s="11"/>
    </row>
    <row r="560" spans="19:20" x14ac:dyDescent="0.35">
      <c r="S560" s="1"/>
      <c r="T560" s="11"/>
    </row>
    <row r="561" spans="19:20" x14ac:dyDescent="0.35">
      <c r="S561" s="1"/>
      <c r="T561" s="11"/>
    </row>
    <row r="562" spans="19:20" x14ac:dyDescent="0.35">
      <c r="S562" s="1"/>
      <c r="T562" s="11"/>
    </row>
    <row r="563" spans="19:20" x14ac:dyDescent="0.35">
      <c r="S563" s="1"/>
      <c r="T563" s="11"/>
    </row>
    <row r="564" spans="19:20" x14ac:dyDescent="0.35">
      <c r="S564" s="1"/>
      <c r="T564" s="11"/>
    </row>
    <row r="565" spans="19:20" x14ac:dyDescent="0.35">
      <c r="S565" s="1"/>
      <c r="T565" s="11"/>
    </row>
    <row r="566" spans="19:20" x14ac:dyDescent="0.35">
      <c r="S566" s="1"/>
      <c r="T566" s="11"/>
    </row>
    <row r="567" spans="19:20" x14ac:dyDescent="0.35">
      <c r="S567" s="1"/>
      <c r="T567" s="11"/>
    </row>
    <row r="568" spans="19:20" x14ac:dyDescent="0.35">
      <c r="S568" s="1"/>
      <c r="T568" s="11"/>
    </row>
    <row r="569" spans="19:20" x14ac:dyDescent="0.35">
      <c r="S569" s="1"/>
      <c r="T569" s="11"/>
    </row>
    <row r="570" spans="19:20" x14ac:dyDescent="0.35">
      <c r="S570" s="1"/>
      <c r="T570" s="11"/>
    </row>
    <row r="571" spans="19:20" x14ac:dyDescent="0.35">
      <c r="S571" s="1"/>
      <c r="T571" s="11"/>
    </row>
    <row r="572" spans="19:20" x14ac:dyDescent="0.35">
      <c r="S572" s="1"/>
      <c r="T572" s="11"/>
    </row>
    <row r="573" spans="19:20" x14ac:dyDescent="0.35">
      <c r="S573" s="1"/>
      <c r="T573" s="11"/>
    </row>
    <row r="574" spans="19:20" x14ac:dyDescent="0.35">
      <c r="S574" s="1"/>
      <c r="T574" s="11"/>
    </row>
    <row r="575" spans="19:20" x14ac:dyDescent="0.35">
      <c r="S575" s="1"/>
      <c r="T575" s="11"/>
    </row>
    <row r="576" spans="19:20" x14ac:dyDescent="0.35">
      <c r="S576" s="1"/>
      <c r="T576" s="11"/>
    </row>
    <row r="577" spans="19:20" x14ac:dyDescent="0.35">
      <c r="S577" s="1"/>
      <c r="T577" s="11"/>
    </row>
    <row r="578" spans="19:20" x14ac:dyDescent="0.35">
      <c r="S578" s="1"/>
      <c r="T578" s="11"/>
    </row>
    <row r="579" spans="19:20" x14ac:dyDescent="0.35">
      <c r="S579" s="1"/>
      <c r="T579" s="11"/>
    </row>
    <row r="580" spans="19:20" x14ac:dyDescent="0.35">
      <c r="S580" s="1"/>
      <c r="T580" s="11"/>
    </row>
    <row r="581" spans="19:20" x14ac:dyDescent="0.35">
      <c r="S581" s="1"/>
      <c r="T581" s="11"/>
    </row>
    <row r="582" spans="19:20" x14ac:dyDescent="0.35">
      <c r="S582" s="1"/>
      <c r="T582" s="11"/>
    </row>
    <row r="583" spans="19:20" x14ac:dyDescent="0.35">
      <c r="S583" s="1"/>
      <c r="T583" s="11"/>
    </row>
    <row r="584" spans="19:20" x14ac:dyDescent="0.35">
      <c r="S584" s="1"/>
      <c r="T584" s="11"/>
    </row>
    <row r="585" spans="19:20" x14ac:dyDescent="0.35">
      <c r="S585" s="1"/>
      <c r="T585" s="11"/>
    </row>
    <row r="586" spans="19:20" x14ac:dyDescent="0.35">
      <c r="S586" s="1"/>
      <c r="T586" s="11"/>
    </row>
    <row r="587" spans="19:20" x14ac:dyDescent="0.35">
      <c r="S587" s="1"/>
      <c r="T587" s="11"/>
    </row>
    <row r="588" spans="19:20" x14ac:dyDescent="0.35">
      <c r="S588" s="1"/>
      <c r="T588" s="11"/>
    </row>
    <row r="589" spans="19:20" x14ac:dyDescent="0.35">
      <c r="S589" s="1"/>
      <c r="T589" s="11"/>
    </row>
    <row r="590" spans="19:20" x14ac:dyDescent="0.35">
      <c r="S590" s="1"/>
      <c r="T590" s="11"/>
    </row>
    <row r="591" spans="19:20" x14ac:dyDescent="0.35">
      <c r="S591" s="1"/>
      <c r="T591" s="11"/>
    </row>
    <row r="592" spans="19:20" x14ac:dyDescent="0.35">
      <c r="S592" s="1"/>
      <c r="T592" s="11"/>
    </row>
    <row r="593" spans="19:20" x14ac:dyDescent="0.35">
      <c r="S593" s="1"/>
      <c r="T593" s="11"/>
    </row>
    <row r="594" spans="19:20" x14ac:dyDescent="0.35">
      <c r="S594" s="1"/>
      <c r="T594" s="11"/>
    </row>
    <row r="595" spans="19:20" x14ac:dyDescent="0.35">
      <c r="S595" s="1"/>
      <c r="T595" s="11"/>
    </row>
    <row r="596" spans="19:20" x14ac:dyDescent="0.35">
      <c r="S596" s="1"/>
      <c r="T596" s="11"/>
    </row>
    <row r="597" spans="19:20" x14ac:dyDescent="0.35">
      <c r="S597" s="1"/>
      <c r="T597" s="11"/>
    </row>
    <row r="598" spans="19:20" x14ac:dyDescent="0.35">
      <c r="S598" s="1"/>
      <c r="T598" s="11"/>
    </row>
    <row r="599" spans="19:20" x14ac:dyDescent="0.35">
      <c r="S599" s="1"/>
      <c r="T599" s="11"/>
    </row>
    <row r="600" spans="19:20" x14ac:dyDescent="0.35">
      <c r="S600" s="1"/>
      <c r="T600" s="11"/>
    </row>
    <row r="601" spans="19:20" x14ac:dyDescent="0.35">
      <c r="S601" s="1"/>
      <c r="T601" s="11"/>
    </row>
    <row r="602" spans="19:20" x14ac:dyDescent="0.35">
      <c r="S602" s="1"/>
      <c r="T602" s="11"/>
    </row>
    <row r="603" spans="19:20" x14ac:dyDescent="0.35">
      <c r="S603" s="1"/>
      <c r="T603" s="11"/>
    </row>
    <row r="604" spans="19:20" x14ac:dyDescent="0.35">
      <c r="S604" s="1"/>
      <c r="T604" s="11"/>
    </row>
    <row r="605" spans="19:20" x14ac:dyDescent="0.35">
      <c r="S605" s="1"/>
      <c r="T605" s="11"/>
    </row>
    <row r="606" spans="19:20" x14ac:dyDescent="0.35">
      <c r="S606" s="1"/>
      <c r="T606" s="11"/>
    </row>
    <row r="607" spans="19:20" x14ac:dyDescent="0.35">
      <c r="S607" s="1"/>
      <c r="T607" s="11"/>
    </row>
    <row r="608" spans="19:20" x14ac:dyDescent="0.35">
      <c r="S608" s="1"/>
      <c r="T608" s="11"/>
    </row>
    <row r="609" spans="19:20" x14ac:dyDescent="0.35">
      <c r="S609" s="1"/>
      <c r="T609" s="11"/>
    </row>
    <row r="610" spans="19:20" x14ac:dyDescent="0.35">
      <c r="S610" s="1"/>
      <c r="T610" s="11"/>
    </row>
    <row r="611" spans="19:20" x14ac:dyDescent="0.35">
      <c r="S611" s="1"/>
      <c r="T611" s="11"/>
    </row>
    <row r="612" spans="19:20" x14ac:dyDescent="0.35">
      <c r="S612" s="1"/>
      <c r="T612" s="11"/>
    </row>
    <row r="613" spans="19:20" x14ac:dyDescent="0.35">
      <c r="S613" s="1"/>
      <c r="T613" s="11"/>
    </row>
    <row r="614" spans="19:20" x14ac:dyDescent="0.35">
      <c r="S614" s="1"/>
      <c r="T614" s="11"/>
    </row>
    <row r="615" spans="19:20" x14ac:dyDescent="0.35">
      <c r="S615" s="1"/>
      <c r="T615" s="11"/>
    </row>
    <row r="616" spans="19:20" x14ac:dyDescent="0.35">
      <c r="S616" s="1"/>
      <c r="T616" s="11"/>
    </row>
    <row r="617" spans="19:20" x14ac:dyDescent="0.35">
      <c r="S617" s="1"/>
      <c r="T617" s="11"/>
    </row>
    <row r="618" spans="19:20" x14ac:dyDescent="0.35">
      <c r="S618" s="1"/>
      <c r="T618" s="11"/>
    </row>
    <row r="619" spans="19:20" x14ac:dyDescent="0.35">
      <c r="S619" s="1"/>
      <c r="T619" s="11"/>
    </row>
    <row r="620" spans="19:20" x14ac:dyDescent="0.35">
      <c r="S620" s="1"/>
      <c r="T620" s="11"/>
    </row>
    <row r="621" spans="19:20" x14ac:dyDescent="0.35">
      <c r="S621" s="1"/>
      <c r="T621" s="11"/>
    </row>
    <row r="622" spans="19:20" x14ac:dyDescent="0.35">
      <c r="S622" s="1"/>
      <c r="T622" s="11"/>
    </row>
    <row r="623" spans="19:20" x14ac:dyDescent="0.35">
      <c r="S623" s="1"/>
      <c r="T623" s="11"/>
    </row>
    <row r="624" spans="19:20" x14ac:dyDescent="0.35">
      <c r="S624" s="1"/>
      <c r="T624" s="11"/>
    </row>
    <row r="625" spans="19:20" x14ac:dyDescent="0.35">
      <c r="S625" s="1"/>
      <c r="T625" s="11"/>
    </row>
    <row r="626" spans="19:20" x14ac:dyDescent="0.35">
      <c r="S626" s="1"/>
      <c r="T626" s="11"/>
    </row>
    <row r="627" spans="19:20" x14ac:dyDescent="0.35">
      <c r="S627" s="1"/>
      <c r="T627" s="11"/>
    </row>
    <row r="628" spans="19:20" x14ac:dyDescent="0.35">
      <c r="S628" s="1"/>
      <c r="T628" s="11"/>
    </row>
    <row r="629" spans="19:20" x14ac:dyDescent="0.35">
      <c r="S629" s="1"/>
      <c r="T629" s="11"/>
    </row>
    <row r="630" spans="19:20" x14ac:dyDescent="0.35">
      <c r="S630" s="1"/>
      <c r="T630" s="11"/>
    </row>
    <row r="631" spans="19:20" x14ac:dyDescent="0.35">
      <c r="S631" s="1"/>
      <c r="T631" s="11"/>
    </row>
    <row r="632" spans="19:20" x14ac:dyDescent="0.35">
      <c r="S632" s="1"/>
      <c r="T632" s="11"/>
    </row>
    <row r="633" spans="19:20" x14ac:dyDescent="0.35">
      <c r="S633" s="1"/>
      <c r="T633" s="11"/>
    </row>
    <row r="634" spans="19:20" x14ac:dyDescent="0.35">
      <c r="S634" s="1"/>
      <c r="T634" s="11"/>
    </row>
    <row r="635" spans="19:20" x14ac:dyDescent="0.35">
      <c r="S635" s="1"/>
      <c r="T635" s="11"/>
    </row>
    <row r="636" spans="19:20" x14ac:dyDescent="0.35">
      <c r="S636" s="1"/>
      <c r="T636" s="11"/>
    </row>
    <row r="637" spans="19:20" x14ac:dyDescent="0.35">
      <c r="S637" s="1"/>
      <c r="T637" s="11"/>
    </row>
    <row r="638" spans="19:20" x14ac:dyDescent="0.35">
      <c r="S638" s="1"/>
      <c r="T638" s="11"/>
    </row>
    <row r="639" spans="19:20" x14ac:dyDescent="0.35">
      <c r="S639" s="1"/>
      <c r="T639" s="11"/>
    </row>
    <row r="640" spans="19:20" x14ac:dyDescent="0.35">
      <c r="S640" s="1"/>
      <c r="T640" s="11"/>
    </row>
    <row r="641" spans="19:20" x14ac:dyDescent="0.35">
      <c r="S641" s="1"/>
      <c r="T641" s="11"/>
    </row>
    <row r="642" spans="19:20" x14ac:dyDescent="0.35">
      <c r="S642" s="1"/>
      <c r="T642" s="11"/>
    </row>
    <row r="643" spans="19:20" x14ac:dyDescent="0.35">
      <c r="S643" s="1"/>
      <c r="T643" s="11"/>
    </row>
    <row r="644" spans="19:20" x14ac:dyDescent="0.35">
      <c r="S644" s="1"/>
      <c r="T644" s="11"/>
    </row>
    <row r="645" spans="19:20" x14ac:dyDescent="0.35">
      <c r="S645" s="1"/>
      <c r="T645" s="11"/>
    </row>
    <row r="646" spans="19:20" x14ac:dyDescent="0.35">
      <c r="S646" s="1"/>
      <c r="T646" s="11"/>
    </row>
    <row r="647" spans="19:20" x14ac:dyDescent="0.35">
      <c r="S647" s="1"/>
      <c r="T647" s="11"/>
    </row>
    <row r="648" spans="19:20" x14ac:dyDescent="0.35">
      <c r="S648" s="1"/>
      <c r="T648" s="11"/>
    </row>
    <row r="649" spans="19:20" x14ac:dyDescent="0.35">
      <c r="S649" s="1"/>
      <c r="T649" s="11"/>
    </row>
    <row r="650" spans="19:20" x14ac:dyDescent="0.35">
      <c r="S650" s="1"/>
      <c r="T650" s="11"/>
    </row>
    <row r="651" spans="19:20" x14ac:dyDescent="0.35">
      <c r="S651" s="1"/>
      <c r="T651" s="11"/>
    </row>
    <row r="652" spans="19:20" x14ac:dyDescent="0.35">
      <c r="S652" s="1"/>
      <c r="T652" s="11"/>
    </row>
    <row r="653" spans="19:20" x14ac:dyDescent="0.35">
      <c r="S653" s="1"/>
      <c r="T653" s="11"/>
    </row>
    <row r="654" spans="19:20" x14ac:dyDescent="0.35">
      <c r="S654" s="1"/>
      <c r="T654" s="11"/>
    </row>
    <row r="655" spans="19:20" x14ac:dyDescent="0.35">
      <c r="S655" s="1"/>
      <c r="T655" s="11"/>
    </row>
    <row r="656" spans="19:20" x14ac:dyDescent="0.35">
      <c r="S656" s="1"/>
      <c r="T656" s="11"/>
    </row>
    <row r="657" spans="19:20" x14ac:dyDescent="0.35">
      <c r="S657" s="1"/>
      <c r="T657" s="11"/>
    </row>
    <row r="658" spans="19:20" x14ac:dyDescent="0.35">
      <c r="S658" s="1"/>
      <c r="T658" s="11"/>
    </row>
    <row r="659" spans="19:20" x14ac:dyDescent="0.35">
      <c r="S659" s="1"/>
      <c r="T659" s="11"/>
    </row>
    <row r="660" spans="19:20" x14ac:dyDescent="0.35">
      <c r="S660" s="1"/>
      <c r="T660" s="11"/>
    </row>
    <row r="661" spans="19:20" x14ac:dyDescent="0.35">
      <c r="S661" s="1"/>
      <c r="T661" s="11"/>
    </row>
    <row r="662" spans="19:20" x14ac:dyDescent="0.35">
      <c r="S662" s="1"/>
      <c r="T662" s="11"/>
    </row>
    <row r="663" spans="19:20" x14ac:dyDescent="0.35">
      <c r="S663" s="1"/>
      <c r="T663" s="11"/>
    </row>
    <row r="664" spans="19:20" x14ac:dyDescent="0.35">
      <c r="S664" s="1"/>
      <c r="T664" s="11"/>
    </row>
    <row r="665" spans="19:20" x14ac:dyDescent="0.35">
      <c r="S665" s="1"/>
      <c r="T665" s="11"/>
    </row>
    <row r="666" spans="19:20" x14ac:dyDescent="0.35">
      <c r="S666" s="1"/>
      <c r="T666" s="11"/>
    </row>
    <row r="667" spans="19:20" x14ac:dyDescent="0.35">
      <c r="S667" s="1"/>
      <c r="T667" s="11"/>
    </row>
    <row r="668" spans="19:20" x14ac:dyDescent="0.35">
      <c r="S668" s="1"/>
      <c r="T668" s="11"/>
    </row>
    <row r="669" spans="19:20" x14ac:dyDescent="0.35">
      <c r="S669" s="1"/>
      <c r="T669" s="11"/>
    </row>
    <row r="670" spans="19:20" x14ac:dyDescent="0.35">
      <c r="S670" s="1"/>
      <c r="T670" s="11"/>
    </row>
    <row r="671" spans="19:20" x14ac:dyDescent="0.35">
      <c r="S671" s="1"/>
      <c r="T671" s="11"/>
    </row>
    <row r="672" spans="19:20" x14ac:dyDescent="0.35">
      <c r="S672" s="1"/>
      <c r="T672" s="11"/>
    </row>
    <row r="673" spans="19:20" x14ac:dyDescent="0.35">
      <c r="S673" s="1"/>
      <c r="T673" s="11"/>
    </row>
    <row r="674" spans="19:20" x14ac:dyDescent="0.35">
      <c r="S674" s="1"/>
      <c r="T674" s="11"/>
    </row>
    <row r="675" spans="19:20" x14ac:dyDescent="0.35">
      <c r="S675" s="1"/>
      <c r="T675" s="11"/>
    </row>
    <row r="676" spans="19:20" x14ac:dyDescent="0.35">
      <c r="S676" s="1"/>
      <c r="T676" s="11"/>
    </row>
    <row r="677" spans="19:20" x14ac:dyDescent="0.35">
      <c r="S677" s="1"/>
      <c r="T677" s="11"/>
    </row>
    <row r="678" spans="19:20" x14ac:dyDescent="0.35">
      <c r="S678" s="1"/>
      <c r="T678" s="11"/>
    </row>
    <row r="679" spans="19:20" x14ac:dyDescent="0.35">
      <c r="S679" s="1"/>
      <c r="T679" s="11"/>
    </row>
    <row r="680" spans="19:20" x14ac:dyDescent="0.35">
      <c r="S680" s="1"/>
      <c r="T680" s="11"/>
    </row>
    <row r="681" spans="19:20" x14ac:dyDescent="0.35">
      <c r="S681" s="1"/>
      <c r="T681" s="11"/>
    </row>
    <row r="682" spans="19:20" x14ac:dyDescent="0.35">
      <c r="S682" s="1"/>
      <c r="T682" s="11"/>
    </row>
    <row r="683" spans="19:20" x14ac:dyDescent="0.35">
      <c r="S683" s="1"/>
      <c r="T683" s="11"/>
    </row>
    <row r="684" spans="19:20" x14ac:dyDescent="0.35">
      <c r="S684" s="1"/>
      <c r="T684" s="11"/>
    </row>
    <row r="685" spans="19:20" x14ac:dyDescent="0.35">
      <c r="S685" s="1"/>
      <c r="T685" s="11"/>
    </row>
    <row r="686" spans="19:20" x14ac:dyDescent="0.35">
      <c r="S686" s="1"/>
      <c r="T686" s="11"/>
    </row>
    <row r="687" spans="19:20" x14ac:dyDescent="0.35">
      <c r="S687" s="1"/>
      <c r="T687" s="11"/>
    </row>
    <row r="688" spans="19:20" x14ac:dyDescent="0.35">
      <c r="S688" s="1"/>
      <c r="T688" s="11"/>
    </row>
    <row r="689" spans="19:20" x14ac:dyDescent="0.35">
      <c r="S689" s="1"/>
      <c r="T689" s="11"/>
    </row>
    <row r="690" spans="19:20" x14ac:dyDescent="0.35">
      <c r="S690" s="1"/>
      <c r="T690" s="11"/>
    </row>
    <row r="691" spans="19:20" x14ac:dyDescent="0.35">
      <c r="S691" s="1"/>
      <c r="T691" s="11"/>
    </row>
    <row r="692" spans="19:20" x14ac:dyDescent="0.35">
      <c r="S692" s="1"/>
      <c r="T692" s="11"/>
    </row>
    <row r="693" spans="19:20" x14ac:dyDescent="0.35">
      <c r="S693" s="1"/>
      <c r="T693" s="11"/>
    </row>
    <row r="694" spans="19:20" x14ac:dyDescent="0.35">
      <c r="S694" s="1"/>
      <c r="T694" s="11"/>
    </row>
    <row r="695" spans="19:20" x14ac:dyDescent="0.35">
      <c r="S695" s="1"/>
      <c r="T695" s="11"/>
    </row>
    <row r="696" spans="19:20" x14ac:dyDescent="0.35">
      <c r="S696" s="1"/>
      <c r="T696" s="11"/>
    </row>
    <row r="697" spans="19:20" x14ac:dyDescent="0.35">
      <c r="S697" s="1"/>
      <c r="T697" s="11"/>
    </row>
    <row r="698" spans="19:20" x14ac:dyDescent="0.35">
      <c r="S698" s="1"/>
      <c r="T698" s="11"/>
    </row>
    <row r="699" spans="19:20" x14ac:dyDescent="0.35">
      <c r="S699" s="1"/>
      <c r="T699" s="11"/>
    </row>
    <row r="700" spans="19:20" x14ac:dyDescent="0.35">
      <c r="S700" s="1"/>
      <c r="T700" s="11"/>
    </row>
    <row r="701" spans="19:20" x14ac:dyDescent="0.35">
      <c r="S701" s="1"/>
      <c r="T701" s="11"/>
    </row>
    <row r="702" spans="19:20" x14ac:dyDescent="0.35">
      <c r="S702" s="1"/>
      <c r="T702" s="11"/>
    </row>
    <row r="703" spans="19:20" x14ac:dyDescent="0.35">
      <c r="S703" s="1"/>
      <c r="T703" s="11"/>
    </row>
    <row r="704" spans="19:20" x14ac:dyDescent="0.35">
      <c r="S704" s="1"/>
      <c r="T704" s="11"/>
    </row>
    <row r="705" spans="19:20" x14ac:dyDescent="0.35">
      <c r="S705" s="1"/>
      <c r="T705" s="11"/>
    </row>
    <row r="706" spans="19:20" x14ac:dyDescent="0.35">
      <c r="S706" s="1"/>
      <c r="T706" s="11"/>
    </row>
    <row r="707" spans="19:20" x14ac:dyDescent="0.35">
      <c r="S707" s="1"/>
      <c r="T707" s="11"/>
    </row>
    <row r="708" spans="19:20" x14ac:dyDescent="0.35">
      <c r="S708" s="1"/>
      <c r="T708" s="11"/>
    </row>
    <row r="709" spans="19:20" x14ac:dyDescent="0.35">
      <c r="S709" s="1"/>
      <c r="T709" s="11"/>
    </row>
    <row r="710" spans="19:20" x14ac:dyDescent="0.35">
      <c r="S710" s="1"/>
      <c r="T710" s="11"/>
    </row>
    <row r="711" spans="19:20" x14ac:dyDescent="0.35">
      <c r="S711" s="1"/>
      <c r="T711" s="11"/>
    </row>
    <row r="712" spans="19:20" x14ac:dyDescent="0.35">
      <c r="S712" s="1"/>
      <c r="T712" s="11"/>
    </row>
    <row r="713" spans="19:20" x14ac:dyDescent="0.35">
      <c r="S713" s="1"/>
      <c r="T713" s="11"/>
    </row>
    <row r="714" spans="19:20" x14ac:dyDescent="0.35">
      <c r="S714" s="1"/>
      <c r="T714" s="11"/>
    </row>
  </sheetData>
  <mergeCells count="13">
    <mergeCell ref="I5:J5"/>
    <mergeCell ref="I6:J6"/>
    <mergeCell ref="B1:S1"/>
    <mergeCell ref="B3:S3"/>
    <mergeCell ref="B13:S13"/>
    <mergeCell ref="C9:E9"/>
    <mergeCell ref="C10:E11"/>
    <mergeCell ref="G9:I9"/>
    <mergeCell ref="G10:I11"/>
    <mergeCell ref="K9:M9"/>
    <mergeCell ref="K10:M11"/>
    <mergeCell ref="O9:Q9"/>
    <mergeCell ref="O10:Q11"/>
  </mergeCells>
  <phoneticPr fontId="6" type="noConversion"/>
  <conditionalFormatting sqref="B19:G78">
    <cfRule type="expression" dxfId="10" priority="17">
      <formula>$B19&lt;=TODAY()</formula>
    </cfRule>
  </conditionalFormatting>
  <conditionalFormatting sqref="C10">
    <cfRule type="cellIs" dxfId="9" priority="12" operator="equal">
      <formula>0</formula>
    </cfRule>
    <cfRule type="cellIs" dxfId="8" priority="13" operator="greaterThan">
      <formula>0</formula>
    </cfRule>
  </conditionalFormatting>
  <conditionalFormatting sqref="G10">
    <cfRule type="cellIs" dxfId="7" priority="4" operator="greaterThan">
      <formula>0</formula>
    </cfRule>
    <cfRule type="cellIs" dxfId="6" priority="9" operator="equal">
      <formula>0</formula>
    </cfRule>
  </conditionalFormatting>
  <conditionalFormatting sqref="K10">
    <cfRule type="cellIs" dxfId="5" priority="5" operator="lessThan">
      <formula>0</formula>
    </cfRule>
    <cfRule type="cellIs" dxfId="4" priority="6" operator="equal">
      <formula>0</formula>
    </cfRule>
    <cfRule type="cellIs" dxfId="3" priority="7" operator="greaterThan">
      <formula>0</formula>
    </cfRule>
  </conditionalFormatting>
  <conditionalFormatting sqref="O10">
    <cfRule type="cellIs" dxfId="2" priority="1" operator="lessThan">
      <formula>0</formula>
    </cfRule>
    <cfRule type="cellIs" dxfId="1" priority="2" operator="equal">
      <formula>0</formula>
    </cfRule>
    <cfRule type="cellIs" dxfId="0" priority="3" operator="greaterThan">
      <formula>0</formula>
    </cfRule>
  </conditionalFormatting>
  <dataValidations xWindow="245" yWindow="504" count="1">
    <dataValidation type="list" allowBlank="1" showInputMessage="1" showErrorMessage="1" sqref="K5" xr:uid="{D6A8FDDD-C60F-4F90-B089-1C8A4B2B75A5}">
      <formula1>Contas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245" yWindow="504" count="2">
        <x14:dataValidation type="list" allowBlank="1" showInputMessage="1" showErrorMessage="1" promptTitle="Selecionar Mês" prompt="Selecione o mês inicial do gráfico do Fluxo de Caixa." xr:uid="{6E8CD954-54B6-46CC-9931-44864D24FF5B}">
          <x14:formula1>
            <xm:f>Auxiliar!$A$1:$A$12</xm:f>
          </x14:formula1>
          <xm:sqref>C15</xm:sqref>
        </x14:dataValidation>
        <x14:dataValidation type="custom" allowBlank="1" showInputMessage="1" showErrorMessage="1" errorTitle="Ano Selecionado Inválido" error="O ano selecionado não atende aos seguintes critérios:_x000a__x000a_1 - Maior ou igual ao ano da data mínima de registro do fluxo de caixa._x000a__x000a_2 - Menor ou igual ao ano da data máxima de registro do fluxo de caixa." promptTitle="Selecionar Ano" prompt="Selecione o ano inicial do gráfico do Fluxo de Caixa." xr:uid="{804DF48F-AD7C-4B49-A5CD-82B7BF5CC0F5}">
          <x14:formula1>
            <xm:f>AND($C$16&gt;=YEAR(MIN('Fluxo de Caixa'!$A:$A)),$C$16&lt;=YEAR(MAX('Fluxo de Caixa'!$A:$A)))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E0D50-0B69-4FC7-B661-BAAEF99C02C3}">
  <sheetPr codeName="Planilha2">
    <tabColor theme="7" tint="-0.499984740745262"/>
  </sheetPr>
  <dimension ref="A1:I161"/>
  <sheetViews>
    <sheetView showGridLines="0" zoomScale="130" zoomScaleNormal="130" workbookViewId="0">
      <selection activeCell="H8" sqref="H8"/>
    </sheetView>
  </sheetViews>
  <sheetFormatPr defaultRowHeight="14.5" x14ac:dyDescent="0.35"/>
  <cols>
    <col min="1" max="1" width="18.81640625" style="4" bestFit="1" customWidth="1"/>
    <col min="2" max="2" width="23.7265625" style="4" bestFit="1" customWidth="1"/>
    <col min="3" max="3" width="28.7265625" style="4" bestFit="1" customWidth="1"/>
    <col min="4" max="4" width="25.81640625" style="4" bestFit="1" customWidth="1"/>
    <col min="5" max="6" width="23.7265625" style="4" bestFit="1" customWidth="1"/>
    <col min="7" max="7" width="2.1796875" customWidth="1"/>
    <col min="8" max="8" width="11.1796875" customWidth="1"/>
    <col min="9" max="9" width="9.54296875" customWidth="1"/>
  </cols>
  <sheetData>
    <row r="1" spans="1:9" x14ac:dyDescent="0.35">
      <c r="A1" s="41" t="s">
        <v>178</v>
      </c>
      <c r="B1" s="41" t="s">
        <v>179</v>
      </c>
      <c r="C1" s="41" t="s">
        <v>180</v>
      </c>
      <c r="D1" s="41" t="s">
        <v>181</v>
      </c>
      <c r="E1" s="41" t="s">
        <v>182</v>
      </c>
      <c r="F1" s="41" t="s">
        <v>183</v>
      </c>
    </row>
    <row r="2" spans="1:9" x14ac:dyDescent="0.35">
      <c r="A2" s="15" t="s">
        <v>13</v>
      </c>
      <c r="B2" s="15" t="s">
        <v>18</v>
      </c>
      <c r="C2" s="15" t="s">
        <v>16</v>
      </c>
      <c r="D2" s="15" t="s">
        <v>29</v>
      </c>
      <c r="E2" s="15" t="s">
        <v>34</v>
      </c>
      <c r="F2" s="15" t="s">
        <v>167</v>
      </c>
      <c r="H2" s="38"/>
      <c r="I2" s="38"/>
    </row>
    <row r="3" spans="1:9" x14ac:dyDescent="0.35">
      <c r="A3" s="15" t="s">
        <v>12</v>
      </c>
      <c r="B3" s="15" t="s">
        <v>19</v>
      </c>
      <c r="C3" s="15" t="s">
        <v>17</v>
      </c>
      <c r="D3" s="15" t="s">
        <v>30</v>
      </c>
      <c r="E3" s="15" t="s">
        <v>35</v>
      </c>
      <c r="F3" s="15" t="s">
        <v>168</v>
      </c>
      <c r="H3" s="38"/>
      <c r="I3" s="38"/>
    </row>
    <row r="4" spans="1:9" x14ac:dyDescent="0.35">
      <c r="A4" s="15" t="s">
        <v>11</v>
      </c>
      <c r="B4" s="15" t="s">
        <v>20</v>
      </c>
      <c r="C4" s="15"/>
      <c r="D4" s="15" t="s">
        <v>31</v>
      </c>
      <c r="E4" s="15" t="s">
        <v>36</v>
      </c>
      <c r="F4" s="15" t="s">
        <v>169</v>
      </c>
      <c r="H4" s="38"/>
      <c r="I4" s="38"/>
    </row>
    <row r="5" spans="1:9" x14ac:dyDescent="0.35">
      <c r="A5" s="15" t="s">
        <v>10</v>
      </c>
      <c r="B5" s="15" t="s">
        <v>21</v>
      </c>
      <c r="C5" s="15"/>
      <c r="D5" s="15" t="s">
        <v>32</v>
      </c>
      <c r="E5" s="15"/>
      <c r="F5" s="15"/>
    </row>
    <row r="6" spans="1:9" x14ac:dyDescent="0.35">
      <c r="A6" s="15"/>
      <c r="B6" s="15" t="s">
        <v>22</v>
      </c>
      <c r="C6" s="15"/>
      <c r="D6" s="15" t="s">
        <v>33</v>
      </c>
      <c r="E6" s="15"/>
      <c r="F6" s="15"/>
    </row>
    <row r="7" spans="1:9" x14ac:dyDescent="0.35">
      <c r="A7" s="15"/>
      <c r="B7" s="15" t="s">
        <v>23</v>
      </c>
      <c r="C7" s="15"/>
      <c r="D7" s="15"/>
      <c r="E7" s="15"/>
      <c r="F7" s="15"/>
    </row>
    <row r="8" spans="1:9" x14ac:dyDescent="0.35">
      <c r="A8" s="15"/>
      <c r="B8" s="15" t="s">
        <v>24</v>
      </c>
      <c r="C8" s="15"/>
      <c r="D8" s="15"/>
      <c r="E8" s="15"/>
      <c r="F8" s="15"/>
    </row>
    <row r="9" spans="1:9" x14ac:dyDescent="0.35">
      <c r="A9" s="15"/>
      <c r="B9" s="15" t="s">
        <v>25</v>
      </c>
      <c r="C9" s="15"/>
      <c r="D9" s="15"/>
      <c r="E9" s="15"/>
      <c r="F9" s="15"/>
    </row>
    <row r="10" spans="1:9" x14ac:dyDescent="0.35">
      <c r="A10" s="15"/>
      <c r="B10" s="15" t="s">
        <v>26</v>
      </c>
      <c r="C10" s="15"/>
      <c r="D10" s="15"/>
      <c r="E10" s="15"/>
      <c r="F10" s="15"/>
    </row>
    <row r="11" spans="1:9" x14ac:dyDescent="0.35">
      <c r="A11" s="15"/>
      <c r="B11" s="15" t="s">
        <v>27</v>
      </c>
      <c r="C11" s="15"/>
      <c r="D11"/>
      <c r="E11" s="15"/>
      <c r="F11" s="15"/>
    </row>
    <row r="12" spans="1:9" x14ac:dyDescent="0.35">
      <c r="A12" s="15"/>
      <c r="B12" s="15"/>
      <c r="C12" s="15"/>
      <c r="D12" s="15"/>
      <c r="E12" s="15"/>
      <c r="F12" s="15"/>
    </row>
    <row r="13" spans="1:9" x14ac:dyDescent="0.35">
      <c r="A13" s="15"/>
      <c r="B13" s="15"/>
      <c r="C13" s="15"/>
      <c r="D13" s="15"/>
      <c r="E13" s="15"/>
      <c r="F13" s="15"/>
    </row>
    <row r="14" spans="1:9" x14ac:dyDescent="0.35">
      <c r="A14" s="15"/>
      <c r="B14" s="15"/>
      <c r="C14" s="15"/>
      <c r="D14" s="15"/>
      <c r="E14" s="15"/>
      <c r="F14" s="15"/>
    </row>
    <row r="15" spans="1:9" x14ac:dyDescent="0.35">
      <c r="A15" s="15"/>
      <c r="B15" s="15"/>
      <c r="C15" s="15"/>
      <c r="D15" s="15"/>
      <c r="E15" s="15"/>
      <c r="F15" s="15"/>
    </row>
    <row r="16" spans="1:9" x14ac:dyDescent="0.35">
      <c r="A16" s="15"/>
      <c r="B16" s="15"/>
      <c r="C16" s="15"/>
      <c r="D16" s="15"/>
      <c r="E16" s="15"/>
      <c r="F16" s="15"/>
    </row>
    <row r="17" spans="1:6" x14ac:dyDescent="0.35">
      <c r="A17" s="15"/>
      <c r="B17" s="15"/>
      <c r="C17" s="15"/>
      <c r="D17" s="15"/>
      <c r="E17" s="15"/>
      <c r="F17" s="15"/>
    </row>
    <row r="18" spans="1:6" x14ac:dyDescent="0.35">
      <c r="A18" s="15"/>
      <c r="B18" s="15"/>
      <c r="C18" s="15"/>
      <c r="D18" s="15"/>
      <c r="E18" s="15"/>
      <c r="F18" s="15"/>
    </row>
    <row r="19" spans="1:6" x14ac:dyDescent="0.35">
      <c r="A19" s="15"/>
      <c r="B19" s="15"/>
      <c r="C19" s="15"/>
      <c r="D19" s="15"/>
      <c r="E19" s="15"/>
      <c r="F19" s="15"/>
    </row>
    <row r="20" spans="1:6" x14ac:dyDescent="0.35">
      <c r="A20" s="15"/>
      <c r="B20" s="15"/>
      <c r="C20" s="15"/>
      <c r="D20" s="15"/>
      <c r="E20" s="15"/>
      <c r="F20" s="15"/>
    </row>
    <row r="21" spans="1:6" x14ac:dyDescent="0.35">
      <c r="A21" s="15"/>
      <c r="B21" s="15"/>
      <c r="C21" s="15"/>
      <c r="D21" s="15"/>
      <c r="E21" s="15"/>
      <c r="F21" s="15"/>
    </row>
    <row r="22" spans="1:6" x14ac:dyDescent="0.35">
      <c r="A22" s="15"/>
      <c r="B22" s="15"/>
      <c r="C22" s="15"/>
      <c r="D22" s="15"/>
      <c r="E22" s="15"/>
      <c r="F22" s="15"/>
    </row>
    <row r="23" spans="1:6" x14ac:dyDescent="0.35">
      <c r="A23" s="15"/>
      <c r="B23" s="15"/>
      <c r="C23" s="15"/>
      <c r="D23" s="15"/>
      <c r="E23" s="15"/>
      <c r="F23" s="15"/>
    </row>
    <row r="24" spans="1:6" x14ac:dyDescent="0.35">
      <c r="A24" s="15"/>
      <c r="B24" s="15"/>
      <c r="C24" s="15"/>
      <c r="D24" s="15"/>
      <c r="E24" s="15"/>
      <c r="F24" s="15"/>
    </row>
    <row r="25" spans="1:6" x14ac:dyDescent="0.35">
      <c r="A25" s="15"/>
      <c r="B25" s="15"/>
      <c r="C25" s="15"/>
      <c r="D25" s="15"/>
      <c r="E25" s="15"/>
      <c r="F25" s="15"/>
    </row>
    <row r="26" spans="1:6" x14ac:dyDescent="0.35">
      <c r="A26" s="15"/>
      <c r="B26" s="15"/>
      <c r="C26" s="15"/>
      <c r="D26" s="15"/>
      <c r="E26" s="15"/>
      <c r="F26" s="15"/>
    </row>
    <row r="27" spans="1:6" x14ac:dyDescent="0.35">
      <c r="A27" s="15"/>
      <c r="B27" s="15"/>
      <c r="C27" s="15"/>
      <c r="D27" s="15"/>
      <c r="E27" s="15"/>
      <c r="F27" s="15"/>
    </row>
    <row r="28" spans="1:6" x14ac:dyDescent="0.35">
      <c r="A28" s="15"/>
      <c r="B28"/>
      <c r="C28" s="15"/>
      <c r="D28" s="15"/>
      <c r="E28" s="15"/>
      <c r="F28" s="15"/>
    </row>
    <row r="29" spans="1:6" x14ac:dyDescent="0.35">
      <c r="A29" s="15"/>
      <c r="B29" s="15"/>
      <c r="C29" s="15"/>
      <c r="D29" s="15"/>
      <c r="E29" s="15"/>
      <c r="F29" s="15"/>
    </row>
    <row r="30" spans="1:6" x14ac:dyDescent="0.35">
      <c r="A30" s="15"/>
      <c r="B30" s="15"/>
      <c r="C30" s="15"/>
      <c r="D30" s="15"/>
      <c r="E30" s="15"/>
      <c r="F30" s="15"/>
    </row>
    <row r="31" spans="1:6" x14ac:dyDescent="0.35">
      <c r="A31" s="15"/>
      <c r="B31" s="15"/>
      <c r="C31" s="15"/>
      <c r="D31" s="15"/>
      <c r="E31" s="15"/>
      <c r="F31" s="15"/>
    </row>
    <row r="32" spans="1:6" x14ac:dyDescent="0.35">
      <c r="A32" s="15"/>
      <c r="B32" s="15"/>
      <c r="C32" s="15"/>
      <c r="D32" s="15"/>
      <c r="E32" s="15"/>
      <c r="F32" s="15"/>
    </row>
    <row r="33" spans="1:6" x14ac:dyDescent="0.35">
      <c r="A33" s="15"/>
      <c r="B33" s="15"/>
      <c r="C33" s="15"/>
      <c r="D33" s="15"/>
      <c r="E33" s="15"/>
      <c r="F33" s="15"/>
    </row>
    <row r="34" spans="1:6" x14ac:dyDescent="0.35">
      <c r="A34" s="15"/>
      <c r="B34" s="15"/>
      <c r="C34" s="15"/>
      <c r="D34" s="15"/>
      <c r="E34" s="15"/>
      <c r="F34" s="15"/>
    </row>
    <row r="35" spans="1:6" x14ac:dyDescent="0.35">
      <c r="A35" s="15"/>
      <c r="B35" s="15"/>
      <c r="C35" s="15"/>
      <c r="D35" s="15"/>
      <c r="E35" s="15"/>
      <c r="F35" s="15"/>
    </row>
    <row r="36" spans="1:6" x14ac:dyDescent="0.35">
      <c r="A36" s="15"/>
      <c r="B36" s="15"/>
      <c r="C36" s="15"/>
      <c r="D36" s="15"/>
      <c r="E36" s="15"/>
      <c r="F36" s="15"/>
    </row>
    <row r="37" spans="1:6" x14ac:dyDescent="0.35">
      <c r="A37" s="15"/>
      <c r="B37" s="15"/>
      <c r="C37" s="15"/>
      <c r="D37" s="15"/>
      <c r="E37" s="15"/>
      <c r="F37" s="15"/>
    </row>
    <row r="38" spans="1:6" x14ac:dyDescent="0.35">
      <c r="A38" s="15"/>
      <c r="B38" s="15"/>
      <c r="C38" s="15"/>
      <c r="D38" s="15"/>
      <c r="E38" s="15"/>
      <c r="F38" s="15"/>
    </row>
    <row r="39" spans="1:6" x14ac:dyDescent="0.35">
      <c r="A39" s="15"/>
      <c r="B39" s="15"/>
      <c r="C39" s="15"/>
      <c r="D39" s="15"/>
      <c r="E39" s="15"/>
      <c r="F39" s="15"/>
    </row>
    <row r="40" spans="1:6" x14ac:dyDescent="0.35">
      <c r="A40" s="15"/>
      <c r="B40" s="15"/>
      <c r="C40" s="15"/>
      <c r="D40" s="15"/>
      <c r="E40" s="15"/>
      <c r="F40" s="15"/>
    </row>
    <row r="41" spans="1:6" x14ac:dyDescent="0.35">
      <c r="A41" s="15"/>
      <c r="B41" s="15"/>
      <c r="C41" s="15"/>
      <c r="D41" s="15"/>
      <c r="E41" s="15"/>
      <c r="F41" s="15"/>
    </row>
    <row r="42" spans="1:6" x14ac:dyDescent="0.35">
      <c r="A42" s="15"/>
      <c r="B42" s="15"/>
      <c r="C42" s="15"/>
      <c r="D42" s="15"/>
      <c r="E42" s="15"/>
      <c r="F42" s="15"/>
    </row>
    <row r="43" spans="1:6" x14ac:dyDescent="0.35">
      <c r="A43" s="15"/>
      <c r="B43" s="15"/>
      <c r="C43" s="15"/>
      <c r="D43" s="15"/>
      <c r="E43" s="15"/>
      <c r="F43" s="15"/>
    </row>
    <row r="44" spans="1:6" x14ac:dyDescent="0.35">
      <c r="A44" s="15"/>
      <c r="B44" s="15"/>
      <c r="C44" s="15"/>
      <c r="D44" s="15"/>
      <c r="E44" s="15"/>
      <c r="F44" s="15"/>
    </row>
    <row r="45" spans="1:6" x14ac:dyDescent="0.35">
      <c r="A45" s="15"/>
      <c r="B45" s="15"/>
      <c r="C45" s="15"/>
      <c r="D45" s="15"/>
      <c r="E45" s="15"/>
      <c r="F45" s="15"/>
    </row>
    <row r="46" spans="1:6" x14ac:dyDescent="0.35">
      <c r="A46" s="15"/>
      <c r="B46" s="15"/>
      <c r="C46" s="15"/>
      <c r="D46" s="15"/>
      <c r="E46" s="15"/>
      <c r="F46" s="15"/>
    </row>
    <row r="47" spans="1:6" x14ac:dyDescent="0.35">
      <c r="A47" s="15"/>
      <c r="B47" s="15"/>
      <c r="C47" s="15"/>
      <c r="D47" s="15"/>
      <c r="E47" s="15"/>
      <c r="F47" s="15"/>
    </row>
    <row r="48" spans="1:6" x14ac:dyDescent="0.35">
      <c r="A48" s="15"/>
      <c r="B48" s="15"/>
      <c r="C48" s="15"/>
      <c r="D48" s="15"/>
      <c r="E48" s="15"/>
      <c r="F48" s="15"/>
    </row>
    <row r="49" spans="1:6" x14ac:dyDescent="0.35">
      <c r="A49" s="15"/>
      <c r="B49" s="15"/>
      <c r="C49" s="15"/>
      <c r="D49" s="15"/>
      <c r="E49" s="15"/>
      <c r="F49" s="15"/>
    </row>
    <row r="50" spans="1:6" x14ac:dyDescent="0.35">
      <c r="A50" s="15"/>
      <c r="B50" s="15"/>
      <c r="C50" s="15"/>
      <c r="D50" s="15"/>
      <c r="E50" s="15"/>
      <c r="F50" s="15"/>
    </row>
    <row r="51" spans="1:6" x14ac:dyDescent="0.35">
      <c r="A51" s="15"/>
      <c r="B51" s="15"/>
      <c r="C51" s="15"/>
      <c r="D51" s="15"/>
      <c r="E51" s="15"/>
      <c r="F51" s="15"/>
    </row>
    <row r="52" spans="1:6" x14ac:dyDescent="0.35">
      <c r="A52" s="15"/>
      <c r="B52" s="15"/>
      <c r="C52" s="15"/>
      <c r="D52" s="15"/>
      <c r="E52" s="15"/>
      <c r="F52" s="15"/>
    </row>
    <row r="53" spans="1:6" x14ac:dyDescent="0.35">
      <c r="A53" s="15"/>
      <c r="B53" s="15"/>
      <c r="C53" s="15"/>
      <c r="D53" s="15"/>
      <c r="E53" s="15"/>
      <c r="F53" s="15"/>
    </row>
    <row r="54" spans="1:6" x14ac:dyDescent="0.35">
      <c r="A54" s="15"/>
      <c r="B54" s="15"/>
      <c r="C54" s="15"/>
      <c r="D54" s="15"/>
      <c r="E54" s="15"/>
      <c r="F54" s="15"/>
    </row>
    <row r="55" spans="1:6" x14ac:dyDescent="0.35">
      <c r="A55" s="15"/>
      <c r="B55" s="15"/>
      <c r="C55" s="15"/>
      <c r="D55" s="15"/>
      <c r="E55" s="15"/>
      <c r="F55" s="15"/>
    </row>
    <row r="56" spans="1:6" x14ac:dyDescent="0.35">
      <c r="A56" s="15"/>
      <c r="B56" s="15"/>
      <c r="C56" s="15"/>
      <c r="D56" s="15"/>
      <c r="E56" s="15"/>
      <c r="F56" s="15"/>
    </row>
    <row r="57" spans="1:6" x14ac:dyDescent="0.35">
      <c r="A57" s="15"/>
      <c r="B57" s="15"/>
      <c r="C57" s="15"/>
      <c r="D57" s="15"/>
      <c r="E57" s="15"/>
      <c r="F57" s="15"/>
    </row>
    <row r="58" spans="1:6" x14ac:dyDescent="0.35">
      <c r="A58" s="15"/>
      <c r="B58" s="15"/>
      <c r="C58" s="15"/>
      <c r="D58" s="15"/>
      <c r="E58" s="15"/>
      <c r="F58" s="15"/>
    </row>
    <row r="59" spans="1:6" x14ac:dyDescent="0.35">
      <c r="A59" s="15"/>
      <c r="B59" s="15"/>
      <c r="C59" s="15"/>
      <c r="D59" s="15"/>
      <c r="E59" s="15"/>
      <c r="F59" s="15"/>
    </row>
    <row r="60" spans="1:6" x14ac:dyDescent="0.35">
      <c r="A60" s="15"/>
      <c r="B60" s="15"/>
      <c r="C60" s="15"/>
      <c r="D60" s="15"/>
      <c r="E60" s="15"/>
      <c r="F60" s="15"/>
    </row>
    <row r="61" spans="1:6" x14ac:dyDescent="0.35">
      <c r="A61" s="15"/>
      <c r="B61" s="15"/>
      <c r="C61" s="15"/>
      <c r="D61" s="15"/>
      <c r="E61" s="15"/>
      <c r="F61" s="15"/>
    </row>
    <row r="62" spans="1:6" x14ac:dyDescent="0.35">
      <c r="A62" s="15"/>
      <c r="B62" s="15"/>
      <c r="C62" s="15"/>
      <c r="D62" s="15"/>
      <c r="E62" s="15"/>
      <c r="F62" s="15"/>
    </row>
    <row r="63" spans="1:6" x14ac:dyDescent="0.35">
      <c r="A63" s="15"/>
      <c r="B63" s="15"/>
      <c r="C63" s="15"/>
      <c r="D63" s="15"/>
      <c r="E63" s="15"/>
      <c r="F63" s="15"/>
    </row>
    <row r="64" spans="1:6" x14ac:dyDescent="0.35">
      <c r="A64" s="15"/>
      <c r="B64" s="15"/>
      <c r="C64" s="15"/>
      <c r="D64" s="15"/>
      <c r="E64" s="15"/>
      <c r="F64" s="15"/>
    </row>
    <row r="65" spans="1:6" x14ac:dyDescent="0.35">
      <c r="A65" s="15"/>
      <c r="B65" s="15"/>
      <c r="C65" s="15"/>
      <c r="D65" s="15"/>
      <c r="E65" s="15"/>
      <c r="F65" s="15"/>
    </row>
    <row r="66" spans="1:6" x14ac:dyDescent="0.35">
      <c r="A66" s="15"/>
      <c r="B66" s="15"/>
      <c r="C66" s="15"/>
      <c r="D66" s="15"/>
      <c r="E66" s="15"/>
      <c r="F66" s="15"/>
    </row>
    <row r="67" spans="1:6" x14ac:dyDescent="0.35">
      <c r="A67" s="15"/>
      <c r="B67" s="15"/>
      <c r="C67" s="15"/>
      <c r="D67" s="15"/>
      <c r="E67" s="15"/>
      <c r="F67" s="15"/>
    </row>
    <row r="68" spans="1:6" x14ac:dyDescent="0.35">
      <c r="A68" s="15"/>
      <c r="B68" s="15"/>
      <c r="C68" s="15"/>
      <c r="D68" s="15"/>
      <c r="E68" s="15"/>
      <c r="F68" s="15"/>
    </row>
    <row r="69" spans="1:6" x14ac:dyDescent="0.35">
      <c r="A69" s="15"/>
      <c r="B69" s="15"/>
      <c r="C69" s="15"/>
      <c r="D69" s="15"/>
      <c r="E69" s="15"/>
      <c r="F69" s="15"/>
    </row>
    <row r="70" spans="1:6" x14ac:dyDescent="0.35">
      <c r="A70" s="15"/>
      <c r="B70" s="15"/>
      <c r="C70" s="15"/>
      <c r="D70" s="15"/>
      <c r="E70" s="15"/>
      <c r="F70" s="15"/>
    </row>
    <row r="71" spans="1:6" x14ac:dyDescent="0.35">
      <c r="A71" s="15"/>
      <c r="B71" s="15"/>
      <c r="C71" s="15"/>
      <c r="D71" s="15"/>
      <c r="E71" s="15"/>
      <c r="F71" s="15"/>
    </row>
    <row r="72" spans="1:6" x14ac:dyDescent="0.35">
      <c r="A72" s="15"/>
      <c r="B72" s="15"/>
      <c r="C72" s="15"/>
      <c r="D72" s="15"/>
      <c r="E72" s="15"/>
      <c r="F72" s="15"/>
    </row>
    <row r="73" spans="1:6" x14ac:dyDescent="0.35">
      <c r="A73" s="15"/>
      <c r="B73" s="15"/>
      <c r="C73" s="15"/>
      <c r="D73" s="15"/>
      <c r="E73" s="15"/>
      <c r="F73" s="15"/>
    </row>
    <row r="74" spans="1:6" x14ac:dyDescent="0.35">
      <c r="A74" s="15"/>
      <c r="B74" s="15"/>
      <c r="C74" s="15"/>
      <c r="D74" s="15"/>
      <c r="E74" s="15"/>
      <c r="F74" s="15"/>
    </row>
    <row r="75" spans="1:6" x14ac:dyDescent="0.35">
      <c r="A75" s="15"/>
      <c r="B75" s="15"/>
      <c r="C75" s="15"/>
      <c r="D75" s="15"/>
      <c r="E75" s="15"/>
      <c r="F75" s="15"/>
    </row>
    <row r="76" spans="1:6" x14ac:dyDescent="0.35">
      <c r="A76" s="15"/>
      <c r="B76" s="15"/>
      <c r="C76" s="15"/>
      <c r="D76" s="15"/>
      <c r="E76" s="15"/>
      <c r="F76" s="15"/>
    </row>
    <row r="77" spans="1:6" x14ac:dyDescent="0.35">
      <c r="A77" s="15"/>
      <c r="B77" s="15"/>
      <c r="C77" s="15"/>
      <c r="D77" s="15"/>
      <c r="E77" s="15"/>
      <c r="F77" s="15"/>
    </row>
    <row r="78" spans="1:6" x14ac:dyDescent="0.35">
      <c r="A78" s="15"/>
      <c r="B78" s="15"/>
      <c r="C78" s="15"/>
      <c r="D78" s="15"/>
      <c r="E78" s="15"/>
      <c r="F78" s="15"/>
    </row>
    <row r="79" spans="1:6" x14ac:dyDescent="0.35">
      <c r="A79" s="15"/>
      <c r="B79" s="15"/>
      <c r="C79" s="15"/>
      <c r="D79" s="15"/>
      <c r="E79" s="15"/>
      <c r="F79" s="15"/>
    </row>
    <row r="80" spans="1:6" x14ac:dyDescent="0.35">
      <c r="A80" s="15"/>
      <c r="B80" s="15"/>
      <c r="C80" s="15"/>
      <c r="D80" s="15"/>
      <c r="E80" s="15"/>
      <c r="F80" s="15"/>
    </row>
    <row r="81" spans="1:6" x14ac:dyDescent="0.35">
      <c r="A81" s="15"/>
      <c r="B81" s="15"/>
      <c r="C81" s="15"/>
      <c r="D81" s="15"/>
      <c r="E81" s="15"/>
      <c r="F81" s="15"/>
    </row>
    <row r="82" spans="1:6" x14ac:dyDescent="0.35">
      <c r="A82" s="15"/>
      <c r="B82" s="15"/>
      <c r="C82" s="15"/>
      <c r="D82" s="15"/>
      <c r="E82" s="15"/>
      <c r="F82" s="15"/>
    </row>
    <row r="83" spans="1:6" x14ac:dyDescent="0.35">
      <c r="A83" s="15"/>
      <c r="B83" s="15"/>
      <c r="C83" s="15"/>
      <c r="D83" s="15"/>
      <c r="E83" s="15"/>
      <c r="F83" s="15"/>
    </row>
    <row r="84" spans="1:6" x14ac:dyDescent="0.35">
      <c r="A84" s="15"/>
      <c r="B84" s="15"/>
      <c r="C84" s="15"/>
      <c r="D84" s="15"/>
      <c r="E84" s="15"/>
      <c r="F84" s="15"/>
    </row>
    <row r="85" spans="1:6" x14ac:dyDescent="0.35">
      <c r="A85" s="15"/>
      <c r="B85" s="15"/>
      <c r="C85" s="15"/>
      <c r="D85" s="15"/>
      <c r="E85" s="15"/>
      <c r="F85" s="15"/>
    </row>
    <row r="86" spans="1:6" x14ac:dyDescent="0.35">
      <c r="A86" s="15"/>
      <c r="B86" s="15"/>
      <c r="C86" s="15"/>
      <c r="D86" s="15"/>
      <c r="E86" s="15"/>
      <c r="F86" s="15"/>
    </row>
    <row r="87" spans="1:6" x14ac:dyDescent="0.35">
      <c r="A87" s="15"/>
      <c r="B87" s="15"/>
      <c r="C87" s="15"/>
      <c r="D87" s="15"/>
      <c r="E87" s="15"/>
      <c r="F87" s="15"/>
    </row>
    <row r="88" spans="1:6" x14ac:dyDescent="0.35">
      <c r="A88" s="15"/>
      <c r="B88" s="15"/>
      <c r="C88" s="15"/>
      <c r="D88" s="15"/>
      <c r="E88" s="15"/>
      <c r="F88" s="15"/>
    </row>
    <row r="89" spans="1:6" x14ac:dyDescent="0.35">
      <c r="A89" s="15"/>
      <c r="B89" s="15"/>
      <c r="C89" s="15"/>
      <c r="D89" s="15"/>
      <c r="E89" s="15"/>
      <c r="F89" s="15"/>
    </row>
    <row r="90" spans="1:6" x14ac:dyDescent="0.35">
      <c r="A90" s="15"/>
      <c r="B90" s="15"/>
      <c r="C90" s="15"/>
      <c r="D90" s="15"/>
      <c r="E90" s="15"/>
      <c r="F90" s="15"/>
    </row>
    <row r="91" spans="1:6" x14ac:dyDescent="0.35">
      <c r="A91" s="15"/>
      <c r="B91" s="15"/>
      <c r="C91" s="15"/>
      <c r="D91" s="15"/>
      <c r="E91" s="15"/>
      <c r="F91" s="15"/>
    </row>
    <row r="92" spans="1:6" x14ac:dyDescent="0.35">
      <c r="A92" s="15"/>
      <c r="B92" s="15"/>
      <c r="C92" s="15"/>
      <c r="D92" s="15"/>
      <c r="E92" s="15"/>
      <c r="F92" s="15"/>
    </row>
    <row r="93" spans="1:6" x14ac:dyDescent="0.35">
      <c r="A93" s="15"/>
      <c r="B93" s="15"/>
      <c r="C93" s="15"/>
      <c r="D93" s="15"/>
      <c r="E93" s="15"/>
      <c r="F93" s="15"/>
    </row>
    <row r="94" spans="1:6" x14ac:dyDescent="0.35">
      <c r="A94" s="15"/>
      <c r="B94" s="15"/>
      <c r="C94" s="15"/>
      <c r="D94" s="15"/>
      <c r="E94" s="15"/>
      <c r="F94" s="15"/>
    </row>
    <row r="95" spans="1:6" x14ac:dyDescent="0.35">
      <c r="A95" s="15"/>
      <c r="B95" s="15"/>
      <c r="C95" s="15"/>
      <c r="D95" s="15"/>
      <c r="E95" s="15"/>
      <c r="F95" s="15"/>
    </row>
    <row r="96" spans="1:6" x14ac:dyDescent="0.35">
      <c r="A96" s="15"/>
      <c r="B96" s="15"/>
      <c r="C96" s="15"/>
      <c r="D96" s="15"/>
      <c r="E96" s="15"/>
      <c r="F96" s="15"/>
    </row>
    <row r="97" spans="1:6" x14ac:dyDescent="0.35">
      <c r="A97" s="15"/>
      <c r="B97" s="15"/>
      <c r="C97" s="15"/>
      <c r="D97" s="15"/>
      <c r="E97" s="15"/>
      <c r="F97" s="15"/>
    </row>
    <row r="98" spans="1:6" x14ac:dyDescent="0.35">
      <c r="A98" s="15"/>
      <c r="B98" s="15"/>
      <c r="C98" s="15"/>
      <c r="D98" s="15"/>
      <c r="E98" s="15"/>
      <c r="F98" s="15"/>
    </row>
    <row r="99" spans="1:6" x14ac:dyDescent="0.35">
      <c r="A99" s="15"/>
      <c r="B99" s="15"/>
      <c r="C99" s="15"/>
      <c r="D99" s="15"/>
      <c r="E99" s="15"/>
      <c r="F99" s="15"/>
    </row>
    <row r="100" spans="1:6" x14ac:dyDescent="0.35">
      <c r="A100" s="15"/>
      <c r="B100" s="15"/>
      <c r="C100" s="15"/>
      <c r="D100" s="15"/>
      <c r="E100" s="15"/>
      <c r="F100" s="15"/>
    </row>
    <row r="101" spans="1:6" x14ac:dyDescent="0.35">
      <c r="A101" s="15"/>
      <c r="B101" s="15"/>
      <c r="C101" s="15"/>
      <c r="D101" s="15"/>
      <c r="E101" s="15"/>
      <c r="F101" s="15"/>
    </row>
    <row r="102" spans="1:6" x14ac:dyDescent="0.35">
      <c r="A102" s="15"/>
      <c r="B102" s="15"/>
      <c r="C102" s="15"/>
      <c r="D102" s="15"/>
      <c r="E102" s="15"/>
      <c r="F102" s="15"/>
    </row>
    <row r="103" spans="1:6" x14ac:dyDescent="0.35">
      <c r="A103" s="15"/>
      <c r="B103" s="15"/>
      <c r="C103" s="15"/>
      <c r="D103" s="15"/>
      <c r="E103" s="15"/>
      <c r="F103" s="15"/>
    </row>
    <row r="104" spans="1:6" x14ac:dyDescent="0.35">
      <c r="A104" s="15"/>
      <c r="B104" s="15"/>
      <c r="C104" s="15"/>
      <c r="D104" s="15"/>
      <c r="E104" s="15"/>
      <c r="F104" s="15"/>
    </row>
    <row r="105" spans="1:6" x14ac:dyDescent="0.35">
      <c r="A105" s="15"/>
      <c r="B105" s="15"/>
      <c r="C105" s="15"/>
      <c r="D105" s="15"/>
      <c r="E105" s="15"/>
      <c r="F105" s="15"/>
    </row>
    <row r="106" spans="1:6" x14ac:dyDescent="0.35">
      <c r="A106" s="15"/>
      <c r="B106" s="15"/>
      <c r="C106" s="15"/>
      <c r="D106" s="15"/>
      <c r="E106" s="15"/>
      <c r="F106" s="15"/>
    </row>
    <row r="107" spans="1:6" x14ac:dyDescent="0.35">
      <c r="A107" s="15"/>
      <c r="B107" s="15"/>
      <c r="C107" s="15"/>
      <c r="D107" s="15"/>
      <c r="E107" s="15"/>
      <c r="F107" s="15"/>
    </row>
    <row r="108" spans="1:6" x14ac:dyDescent="0.35">
      <c r="A108" s="15"/>
      <c r="B108" s="15"/>
      <c r="C108" s="15"/>
      <c r="D108" s="15"/>
      <c r="E108" s="15"/>
      <c r="F108" s="15"/>
    </row>
    <row r="109" spans="1:6" x14ac:dyDescent="0.35">
      <c r="A109" s="15"/>
      <c r="B109" s="15"/>
      <c r="C109" s="15"/>
      <c r="D109" s="15"/>
      <c r="E109" s="15"/>
      <c r="F109" s="15"/>
    </row>
    <row r="110" spans="1:6" x14ac:dyDescent="0.35">
      <c r="A110" s="15"/>
      <c r="B110" s="15"/>
      <c r="C110" s="15"/>
      <c r="D110" s="15"/>
      <c r="E110" s="15"/>
      <c r="F110" s="15"/>
    </row>
    <row r="111" spans="1:6" x14ac:dyDescent="0.35">
      <c r="A111" s="15"/>
      <c r="B111" s="15"/>
      <c r="C111" s="15"/>
      <c r="D111" s="15"/>
      <c r="E111" s="15"/>
      <c r="F111" s="15"/>
    </row>
    <row r="112" spans="1:6" x14ac:dyDescent="0.35">
      <c r="A112" s="15"/>
      <c r="B112" s="15"/>
      <c r="C112" s="15"/>
      <c r="D112" s="15"/>
      <c r="E112" s="15"/>
      <c r="F112" s="15"/>
    </row>
    <row r="113" spans="1:6" x14ac:dyDescent="0.35">
      <c r="A113" s="15"/>
      <c r="B113" s="15"/>
      <c r="C113" s="15"/>
      <c r="D113" s="15"/>
      <c r="E113" s="15"/>
      <c r="F113" s="15"/>
    </row>
    <row r="114" spans="1:6" x14ac:dyDescent="0.35">
      <c r="A114" s="15"/>
      <c r="B114" s="15"/>
      <c r="C114" s="15"/>
      <c r="D114" s="15"/>
      <c r="E114" s="15"/>
      <c r="F114" s="15"/>
    </row>
    <row r="115" spans="1:6" x14ac:dyDescent="0.35">
      <c r="A115" s="15"/>
      <c r="B115" s="15"/>
      <c r="C115" s="15"/>
      <c r="D115" s="15"/>
      <c r="E115" s="15"/>
      <c r="F115" s="15"/>
    </row>
    <row r="116" spans="1:6" x14ac:dyDescent="0.35">
      <c r="A116" s="15"/>
      <c r="B116" s="15"/>
      <c r="C116" s="15"/>
      <c r="D116" s="15"/>
      <c r="E116" s="15"/>
      <c r="F116" s="15"/>
    </row>
    <row r="117" spans="1:6" x14ac:dyDescent="0.35">
      <c r="A117" s="15"/>
      <c r="B117" s="15"/>
      <c r="C117" s="15"/>
      <c r="D117" s="15"/>
      <c r="E117" s="15"/>
      <c r="F117" s="15"/>
    </row>
    <row r="118" spans="1:6" x14ac:dyDescent="0.35">
      <c r="A118" s="15"/>
      <c r="B118" s="15"/>
      <c r="C118" s="15"/>
      <c r="D118" s="15"/>
      <c r="E118" s="15"/>
      <c r="F118" s="15"/>
    </row>
    <row r="119" spans="1:6" x14ac:dyDescent="0.35">
      <c r="A119" s="15"/>
      <c r="B119" s="15"/>
      <c r="C119" s="15"/>
      <c r="D119" s="15"/>
      <c r="E119" s="15"/>
      <c r="F119" s="15"/>
    </row>
    <row r="120" spans="1:6" x14ac:dyDescent="0.35">
      <c r="A120" s="15"/>
      <c r="B120" s="15"/>
      <c r="C120" s="15"/>
      <c r="D120" s="15"/>
      <c r="E120" s="15"/>
      <c r="F120" s="15"/>
    </row>
    <row r="121" spans="1:6" x14ac:dyDescent="0.35">
      <c r="A121" s="15"/>
      <c r="B121" s="15"/>
      <c r="C121" s="15"/>
      <c r="D121" s="15"/>
      <c r="E121" s="15"/>
      <c r="F121" s="15"/>
    </row>
    <row r="122" spans="1:6" x14ac:dyDescent="0.35">
      <c r="A122" s="15"/>
      <c r="B122" s="15"/>
      <c r="C122" s="15"/>
      <c r="D122" s="15"/>
      <c r="E122" s="15"/>
      <c r="F122" s="15"/>
    </row>
    <row r="123" spans="1:6" x14ac:dyDescent="0.35">
      <c r="A123" s="15"/>
      <c r="B123" s="15"/>
      <c r="C123" s="15"/>
      <c r="D123" s="15"/>
      <c r="E123" s="15"/>
      <c r="F123" s="15"/>
    </row>
    <row r="124" spans="1:6" x14ac:dyDescent="0.35">
      <c r="A124" s="15"/>
      <c r="B124" s="15"/>
      <c r="C124" s="15"/>
      <c r="D124" s="15"/>
      <c r="E124" s="15"/>
      <c r="F124" s="15"/>
    </row>
    <row r="125" spans="1:6" x14ac:dyDescent="0.35">
      <c r="A125" s="15"/>
      <c r="B125" s="15"/>
      <c r="C125" s="15"/>
      <c r="D125" s="15"/>
      <c r="E125" s="15"/>
      <c r="F125" s="15"/>
    </row>
    <row r="126" spans="1:6" x14ac:dyDescent="0.35">
      <c r="A126" s="15"/>
      <c r="B126" s="15"/>
      <c r="C126" s="15"/>
      <c r="D126" s="15"/>
      <c r="E126" s="15"/>
      <c r="F126" s="15"/>
    </row>
    <row r="127" spans="1:6" x14ac:dyDescent="0.35">
      <c r="A127" s="15"/>
      <c r="B127" s="15"/>
      <c r="C127" s="15"/>
      <c r="D127" s="15"/>
      <c r="E127" s="15"/>
      <c r="F127" s="15"/>
    </row>
    <row r="128" spans="1:6" x14ac:dyDescent="0.35">
      <c r="A128" s="15"/>
      <c r="B128" s="15"/>
      <c r="C128" s="15"/>
      <c r="D128" s="15"/>
      <c r="E128" s="15"/>
      <c r="F128" s="15"/>
    </row>
    <row r="129" spans="1:6" x14ac:dyDescent="0.35">
      <c r="A129" s="15"/>
      <c r="B129" s="15"/>
      <c r="C129" s="15"/>
      <c r="D129" s="15"/>
      <c r="E129" s="15"/>
      <c r="F129" s="15"/>
    </row>
    <row r="130" spans="1:6" x14ac:dyDescent="0.35">
      <c r="A130" s="15"/>
      <c r="B130" s="15"/>
      <c r="C130" s="15"/>
      <c r="D130" s="15"/>
      <c r="E130" s="15"/>
      <c r="F130" s="15"/>
    </row>
    <row r="131" spans="1:6" x14ac:dyDescent="0.35">
      <c r="A131" s="15"/>
      <c r="B131" s="15"/>
      <c r="C131" s="15"/>
      <c r="D131" s="15"/>
      <c r="E131" s="15"/>
      <c r="F131" s="15"/>
    </row>
    <row r="132" spans="1:6" x14ac:dyDescent="0.35">
      <c r="A132" s="15"/>
      <c r="B132" s="15"/>
      <c r="C132" s="15"/>
      <c r="D132" s="15"/>
      <c r="E132" s="15"/>
      <c r="F132" s="15"/>
    </row>
    <row r="133" spans="1:6" x14ac:dyDescent="0.35">
      <c r="A133" s="15"/>
      <c r="B133" s="15"/>
      <c r="C133" s="15"/>
      <c r="D133" s="15"/>
      <c r="E133" s="15"/>
      <c r="F133" s="15"/>
    </row>
    <row r="134" spans="1:6" x14ac:dyDescent="0.35">
      <c r="A134" s="15"/>
      <c r="B134" s="15"/>
      <c r="C134" s="15"/>
      <c r="D134" s="15"/>
      <c r="E134" s="15"/>
      <c r="F134" s="15"/>
    </row>
    <row r="135" spans="1:6" x14ac:dyDescent="0.35">
      <c r="A135" s="15"/>
      <c r="B135" s="15"/>
      <c r="C135" s="15"/>
      <c r="D135" s="15"/>
      <c r="E135" s="15"/>
      <c r="F135" s="15"/>
    </row>
    <row r="136" spans="1:6" x14ac:dyDescent="0.35">
      <c r="A136" s="15"/>
      <c r="B136" s="15"/>
      <c r="C136" s="15"/>
      <c r="D136" s="15"/>
      <c r="E136" s="15"/>
      <c r="F136" s="15"/>
    </row>
    <row r="137" spans="1:6" x14ac:dyDescent="0.35">
      <c r="A137" s="15"/>
      <c r="B137" s="15"/>
      <c r="C137" s="15"/>
      <c r="D137" s="15"/>
      <c r="E137" s="15"/>
      <c r="F137" s="15"/>
    </row>
    <row r="138" spans="1:6" x14ac:dyDescent="0.35">
      <c r="A138" s="15"/>
      <c r="B138" s="15"/>
      <c r="C138" s="15"/>
      <c r="D138" s="15"/>
      <c r="E138" s="15"/>
      <c r="F138" s="15"/>
    </row>
    <row r="139" spans="1:6" x14ac:dyDescent="0.35">
      <c r="A139" s="15"/>
      <c r="B139" s="15"/>
      <c r="C139" s="15"/>
      <c r="D139" s="15"/>
      <c r="E139" s="15"/>
      <c r="F139" s="15"/>
    </row>
    <row r="140" spans="1:6" x14ac:dyDescent="0.35">
      <c r="A140" s="15"/>
      <c r="B140" s="15"/>
      <c r="C140" s="15"/>
      <c r="D140" s="15"/>
      <c r="E140" s="15"/>
      <c r="F140" s="15"/>
    </row>
    <row r="141" spans="1:6" x14ac:dyDescent="0.35">
      <c r="A141" s="15"/>
      <c r="B141" s="15"/>
      <c r="C141" s="15"/>
      <c r="D141" s="15"/>
      <c r="E141" s="15"/>
      <c r="F141" s="15"/>
    </row>
    <row r="142" spans="1:6" x14ac:dyDescent="0.35">
      <c r="A142" s="15"/>
      <c r="B142" s="15"/>
      <c r="C142" s="15"/>
      <c r="D142" s="15"/>
      <c r="E142" s="15"/>
      <c r="F142" s="15"/>
    </row>
    <row r="143" spans="1:6" x14ac:dyDescent="0.35">
      <c r="A143" s="15"/>
      <c r="B143" s="15"/>
      <c r="C143" s="15"/>
      <c r="D143" s="15"/>
      <c r="E143" s="15"/>
      <c r="F143" s="15"/>
    </row>
    <row r="144" spans="1:6" x14ac:dyDescent="0.35">
      <c r="A144" s="15"/>
      <c r="B144" s="15"/>
      <c r="C144" s="15"/>
      <c r="D144" s="15"/>
      <c r="E144" s="15"/>
      <c r="F144" s="15"/>
    </row>
    <row r="145" spans="1:6" x14ac:dyDescent="0.35">
      <c r="A145" s="15"/>
      <c r="B145" s="15"/>
      <c r="C145" s="15"/>
      <c r="D145" s="15"/>
      <c r="E145" s="15"/>
      <c r="F145" s="15"/>
    </row>
    <row r="146" spans="1:6" x14ac:dyDescent="0.35">
      <c r="A146" s="15"/>
      <c r="B146" s="15"/>
      <c r="C146" s="15"/>
      <c r="D146" s="15"/>
      <c r="E146" s="15"/>
      <c r="F146" s="15"/>
    </row>
    <row r="147" spans="1:6" x14ac:dyDescent="0.35">
      <c r="A147" s="15"/>
      <c r="B147" s="15"/>
      <c r="C147" s="15"/>
      <c r="D147" s="15"/>
      <c r="E147" s="15"/>
      <c r="F147" s="15"/>
    </row>
    <row r="148" spans="1:6" x14ac:dyDescent="0.35">
      <c r="A148" s="15"/>
      <c r="B148" s="15"/>
      <c r="C148" s="15"/>
      <c r="D148" s="15"/>
      <c r="E148" s="15"/>
      <c r="F148" s="15"/>
    </row>
    <row r="149" spans="1:6" x14ac:dyDescent="0.35">
      <c r="A149" s="15"/>
      <c r="B149" s="15"/>
      <c r="C149" s="15"/>
      <c r="D149" s="15"/>
      <c r="E149" s="15"/>
      <c r="F149" s="15"/>
    </row>
    <row r="150" spans="1:6" x14ac:dyDescent="0.35">
      <c r="A150" s="15"/>
      <c r="B150" s="15"/>
      <c r="C150" s="15"/>
      <c r="D150" s="15"/>
      <c r="E150" s="15"/>
      <c r="F150" s="15"/>
    </row>
    <row r="151" spans="1:6" x14ac:dyDescent="0.35">
      <c r="A151" s="15"/>
      <c r="B151" s="15"/>
      <c r="C151" s="15"/>
      <c r="D151" s="15"/>
      <c r="E151" s="15"/>
      <c r="F151" s="15"/>
    </row>
    <row r="152" spans="1:6" x14ac:dyDescent="0.35">
      <c r="A152" s="15"/>
      <c r="B152" s="15"/>
      <c r="C152" s="15"/>
      <c r="D152" s="15"/>
      <c r="E152" s="15"/>
      <c r="F152" s="15"/>
    </row>
    <row r="153" spans="1:6" x14ac:dyDescent="0.35">
      <c r="A153" s="15"/>
      <c r="B153" s="15"/>
      <c r="C153" s="15"/>
      <c r="D153" s="15"/>
      <c r="E153" s="15"/>
      <c r="F153" s="15"/>
    </row>
    <row r="154" spans="1:6" x14ac:dyDescent="0.35">
      <c r="A154" s="15"/>
      <c r="B154" s="15"/>
      <c r="C154" s="15"/>
      <c r="D154" s="15"/>
      <c r="E154" s="15"/>
      <c r="F154" s="15"/>
    </row>
    <row r="155" spans="1:6" x14ac:dyDescent="0.35">
      <c r="A155" s="15"/>
      <c r="B155" s="15"/>
      <c r="C155" s="15"/>
      <c r="D155" s="15"/>
      <c r="E155" s="15"/>
      <c r="F155" s="15"/>
    </row>
    <row r="156" spans="1:6" x14ac:dyDescent="0.35">
      <c r="A156" s="15"/>
      <c r="B156" s="15"/>
      <c r="C156" s="15"/>
      <c r="D156" s="15"/>
      <c r="E156" s="15"/>
      <c r="F156" s="15"/>
    </row>
    <row r="157" spans="1:6" x14ac:dyDescent="0.35">
      <c r="A157" s="15"/>
      <c r="B157" s="15"/>
      <c r="C157" s="15"/>
      <c r="D157" s="15"/>
      <c r="E157" s="15"/>
      <c r="F157" s="15"/>
    </row>
    <row r="158" spans="1:6" x14ac:dyDescent="0.35">
      <c r="A158" s="15"/>
      <c r="B158" s="15"/>
      <c r="C158" s="15"/>
      <c r="D158" s="15"/>
      <c r="E158" s="15"/>
      <c r="F158" s="15"/>
    </row>
    <row r="159" spans="1:6" x14ac:dyDescent="0.35">
      <c r="A159" s="15"/>
      <c r="B159" s="15"/>
      <c r="C159" s="15"/>
      <c r="D159" s="15"/>
      <c r="E159" s="15"/>
      <c r="F159" s="15"/>
    </row>
    <row r="160" spans="1:6" x14ac:dyDescent="0.35">
      <c r="A160" s="15"/>
      <c r="B160" s="15"/>
      <c r="C160" s="15"/>
      <c r="D160" s="15"/>
      <c r="E160" s="15"/>
      <c r="F160" s="15"/>
    </row>
    <row r="161" spans="1:6" x14ac:dyDescent="0.35">
      <c r="A161" s="15"/>
      <c r="B161" s="15"/>
      <c r="C161" s="15"/>
      <c r="D161" s="15"/>
      <c r="E161" s="15"/>
      <c r="F161" s="15"/>
    </row>
  </sheetData>
  <phoneticPr fontId="6" type="noConversion"/>
  <conditionalFormatting sqref="A2:F10 A29:F161 A28 C28:F28 A12:F27 A11:C11 E11:F11">
    <cfRule type="expression" dxfId="11" priority="1">
      <formula>A2&lt;&gt;""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6EA57-A5A6-4243-8E36-CC0B4F542A42}">
  <sheetPr codeName="Planilha1">
    <tabColor theme="9" tint="-0.499984740745262"/>
  </sheetPr>
  <dimension ref="A1:P102"/>
  <sheetViews>
    <sheetView showGridLines="0" showRowColHeaders="0" zoomScaleNormal="100" workbookViewId="0">
      <pane ySplit="1" topLeftCell="A2" activePane="bottomLeft" state="frozen"/>
      <selection pane="bottomLeft" activeCell="A5" sqref="A5"/>
    </sheetView>
  </sheetViews>
  <sheetFormatPr defaultRowHeight="14.5" x14ac:dyDescent="0.35"/>
  <cols>
    <col min="1" max="1" width="11.26953125" bestFit="1" customWidth="1"/>
    <col min="2" max="2" width="19" bestFit="1" customWidth="1"/>
    <col min="3" max="3" width="23.7265625" bestFit="1" customWidth="1"/>
    <col min="4" max="4" width="15.81640625" bestFit="1" customWidth="1"/>
    <col min="5" max="5" width="20.1796875" bestFit="1" customWidth="1"/>
    <col min="6" max="6" width="15.26953125" bestFit="1" customWidth="1"/>
    <col min="7" max="7" width="20.7265625" bestFit="1" customWidth="1"/>
    <col min="8" max="8" width="11.7265625" customWidth="1"/>
    <col min="9" max="9" width="16.453125" bestFit="1" customWidth="1"/>
    <col min="10" max="10" width="15" bestFit="1" customWidth="1"/>
    <col min="11" max="11" width="15.54296875" bestFit="1" customWidth="1"/>
    <col min="12" max="12" width="20.7265625" bestFit="1" customWidth="1"/>
    <col min="13" max="13" width="4.453125" customWidth="1"/>
    <col min="14" max="14" width="12.26953125" customWidth="1"/>
    <col min="15" max="15" width="11.36328125" customWidth="1"/>
    <col min="16" max="16" width="11.26953125" bestFit="1" customWidth="1"/>
  </cols>
  <sheetData>
    <row r="1" spans="1:16" x14ac:dyDescent="0.35">
      <c r="A1" s="2" t="s">
        <v>0</v>
      </c>
      <c r="B1" s="2" t="s">
        <v>9</v>
      </c>
      <c r="C1" s="2" t="s">
        <v>1</v>
      </c>
      <c r="D1" s="2" t="s">
        <v>28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37</v>
      </c>
      <c r="P1" s="6"/>
    </row>
    <row r="2" spans="1:16" x14ac:dyDescent="0.35">
      <c r="A2" s="1">
        <v>43466</v>
      </c>
      <c r="B2" s="3" t="s">
        <v>14</v>
      </c>
      <c r="C2" t="s">
        <v>25</v>
      </c>
      <c r="D2" s="4" t="s">
        <v>84</v>
      </c>
      <c r="E2" s="4" t="s">
        <v>171</v>
      </c>
      <c r="F2" s="4" t="s">
        <v>34</v>
      </c>
      <c r="G2" s="4" t="s">
        <v>32</v>
      </c>
      <c r="H2" s="4" t="s">
        <v>41</v>
      </c>
      <c r="I2" s="4" t="s">
        <v>169</v>
      </c>
      <c r="J2" s="5">
        <v>1068</v>
      </c>
      <c r="K2" s="7">
        <f>IF(ROW()=2,IF(Tabela2[[#This Row],[Status]]="Em aberto",0,IF(Tabela2[[#This Row],[Movimentação]]="Saídas",-J2,J2)),IF(Tabela2[[#This Row],[Status]]="Em aberto",0,IF(Tabela2[[#This Row],[Movimentação]]="Saídas",-J2,J2))+K1)</f>
        <v>1068</v>
      </c>
      <c r="L2" s="8">
        <f>IF(ROW()=2,IF(Tabela2[[#This Row],[Movimentação]]="Saídas",-J2,J2),IF(Tabela2[[#This Row],[Movimentação]]="Saídas",-J2,J2)+L1)</f>
        <v>1068</v>
      </c>
      <c r="N2" s="38"/>
      <c r="O2" s="38"/>
      <c r="P2" s="1"/>
    </row>
    <row r="3" spans="1:16" x14ac:dyDescent="0.35">
      <c r="A3" s="1">
        <v>43475</v>
      </c>
      <c r="B3" s="3" t="s">
        <v>14</v>
      </c>
      <c r="C3" t="s">
        <v>11</v>
      </c>
      <c r="D3" s="4" t="s">
        <v>94</v>
      </c>
      <c r="E3" s="4" t="s">
        <v>172</v>
      </c>
      <c r="F3" s="4" t="s">
        <v>36</v>
      </c>
      <c r="G3" s="4" t="s">
        <v>32</v>
      </c>
      <c r="H3" s="4" t="s">
        <v>41</v>
      </c>
      <c r="I3" s="4" t="s">
        <v>168</v>
      </c>
      <c r="J3" s="5">
        <v>8743</v>
      </c>
      <c r="K3" s="7">
        <f>IF(ROW()=2,IF(Tabela2[[#This Row],[Status]]="Em aberto",0,IF(Tabela2[[#This Row],[Movimentação]]="Saídas",-J3,J3)),IF(Tabela2[[#This Row],[Status]]="Em aberto",0,IF(Tabela2[[#This Row],[Movimentação]]="Saídas",-J3,J3))+K2)</f>
        <v>9811</v>
      </c>
      <c r="L3" s="8">
        <f>IF(ROW()=2,IF(Tabela2[[#This Row],[Movimentação]]="Saídas",-J3,J3),IF(Tabela2[[#This Row],[Movimentação]]="Saídas",-J3,J3)+L2)</f>
        <v>9811</v>
      </c>
      <c r="N3" s="38"/>
      <c r="O3" s="38"/>
    </row>
    <row r="4" spans="1:16" x14ac:dyDescent="0.35">
      <c r="A4" s="1">
        <v>43481</v>
      </c>
      <c r="B4" s="3" t="s">
        <v>15</v>
      </c>
      <c r="C4" t="s">
        <v>13</v>
      </c>
      <c r="D4" s="4" t="s">
        <v>110</v>
      </c>
      <c r="E4" s="4" t="s">
        <v>173</v>
      </c>
      <c r="F4" s="4" t="s">
        <v>36</v>
      </c>
      <c r="G4" s="4" t="s">
        <v>31</v>
      </c>
      <c r="H4" s="4" t="s">
        <v>41</v>
      </c>
      <c r="I4" s="4" t="s">
        <v>169</v>
      </c>
      <c r="J4" s="5">
        <v>3109</v>
      </c>
      <c r="K4" s="7">
        <f>IF(ROW()=2,IF(Tabela2[[#This Row],[Status]]="Em aberto",0,IF(Tabela2[[#This Row],[Movimentação]]="Saídas",-J4,J4)),IF(Tabela2[[#This Row],[Status]]="Em aberto",0,IF(Tabela2[[#This Row],[Movimentação]]="Saídas",-J4,J4))+K3)</f>
        <v>6702</v>
      </c>
      <c r="L4" s="8">
        <f>IF(ROW()=2,IF(Tabela2[[#This Row],[Movimentação]]="Saídas",-J4,J4),IF(Tabela2[[#This Row],[Movimentação]]="Saídas",-J4,J4)+L3)</f>
        <v>6702</v>
      </c>
      <c r="N4" s="38"/>
      <c r="O4" s="38"/>
    </row>
    <row r="5" spans="1:16" x14ac:dyDescent="0.35">
      <c r="A5" s="1">
        <v>43482</v>
      </c>
      <c r="B5" s="3" t="s">
        <v>14</v>
      </c>
      <c r="C5" t="s">
        <v>13</v>
      </c>
      <c r="D5" s="4" t="s">
        <v>139</v>
      </c>
      <c r="E5" s="4" t="s">
        <v>173</v>
      </c>
      <c r="F5" s="4" t="s">
        <v>35</v>
      </c>
      <c r="G5" s="4" t="s">
        <v>30</v>
      </c>
      <c r="H5" s="4" t="s">
        <v>41</v>
      </c>
      <c r="I5" s="4" t="s">
        <v>168</v>
      </c>
      <c r="J5" s="5">
        <v>746</v>
      </c>
      <c r="K5" s="7">
        <f>IF(ROW()=2,IF(Tabela2[[#This Row],[Status]]="Em aberto",0,IF(Tabela2[[#This Row],[Movimentação]]="Saídas",-J5,J5)),IF(Tabela2[[#This Row],[Status]]="Em aberto",0,IF(Tabela2[[#This Row],[Movimentação]]="Saídas",-J5,J5))+K4)</f>
        <v>7448</v>
      </c>
      <c r="L5" s="8">
        <f>IF(ROW()=2,IF(Tabela2[[#This Row],[Movimentação]]="Saídas",-J5,J5),IF(Tabela2[[#This Row],[Movimentação]]="Saídas",-J5,J5)+L4)</f>
        <v>7448</v>
      </c>
    </row>
    <row r="6" spans="1:16" x14ac:dyDescent="0.35">
      <c r="A6" s="1">
        <v>43488</v>
      </c>
      <c r="B6" s="3" t="s">
        <v>14</v>
      </c>
      <c r="C6" t="s">
        <v>12</v>
      </c>
      <c r="D6" s="4" t="s">
        <v>85</v>
      </c>
      <c r="E6" s="4" t="s">
        <v>172</v>
      </c>
      <c r="F6" s="4" t="s">
        <v>34</v>
      </c>
      <c r="G6" s="4" t="s">
        <v>32</v>
      </c>
      <c r="H6" s="4" t="s">
        <v>41</v>
      </c>
      <c r="I6" s="4" t="s">
        <v>168</v>
      </c>
      <c r="J6" s="5">
        <v>1686</v>
      </c>
      <c r="K6" s="7">
        <f>IF(ROW()=2,IF(Tabela2[[#This Row],[Status]]="Em aberto",0,IF(Tabela2[[#This Row],[Movimentação]]="Saídas",-J6,J6)),IF(Tabela2[[#This Row],[Status]]="Em aberto",0,IF(Tabela2[[#This Row],[Movimentação]]="Saídas",-J6,J6))+K5)</f>
        <v>9134</v>
      </c>
      <c r="L6" s="8">
        <f>IF(ROW()=2,IF(Tabela2[[#This Row],[Movimentação]]="Saídas",-J6,J6),IF(Tabela2[[#This Row],[Movimentação]]="Saídas",-J6,J6)+L5)</f>
        <v>9134</v>
      </c>
    </row>
    <row r="7" spans="1:16" x14ac:dyDescent="0.35">
      <c r="A7" s="1">
        <v>43491</v>
      </c>
      <c r="B7" s="3" t="s">
        <v>14</v>
      </c>
      <c r="C7" t="s">
        <v>10</v>
      </c>
      <c r="D7" s="4" t="s">
        <v>91</v>
      </c>
      <c r="E7" s="4" t="s">
        <v>171</v>
      </c>
      <c r="F7" s="4" t="s">
        <v>35</v>
      </c>
      <c r="G7" s="4" t="s">
        <v>30</v>
      </c>
      <c r="H7" s="4" t="s">
        <v>41</v>
      </c>
      <c r="I7" s="4" t="s">
        <v>168</v>
      </c>
      <c r="J7" s="5">
        <v>5923</v>
      </c>
      <c r="K7" s="7">
        <f>IF(ROW()=2,IF(Tabela2[[#This Row],[Status]]="Em aberto",0,IF(Tabela2[[#This Row],[Movimentação]]="Saídas",-J7,J7)),IF(Tabela2[[#This Row],[Status]]="Em aberto",0,IF(Tabela2[[#This Row],[Movimentação]]="Saídas",-J7,J7))+K6)</f>
        <v>15057</v>
      </c>
      <c r="L7" s="8">
        <f>IF(ROW()=2,IF(Tabela2[[#This Row],[Movimentação]]="Saídas",-J7,J7),IF(Tabela2[[#This Row],[Movimentação]]="Saídas",-J7,J7)+L6)</f>
        <v>15057</v>
      </c>
    </row>
    <row r="8" spans="1:16" x14ac:dyDescent="0.35">
      <c r="A8" s="1">
        <v>43493</v>
      </c>
      <c r="B8" s="3" t="s">
        <v>14</v>
      </c>
      <c r="C8" t="s">
        <v>12</v>
      </c>
      <c r="D8" s="4" t="s">
        <v>59</v>
      </c>
      <c r="E8" s="4" t="s">
        <v>174</v>
      </c>
      <c r="F8" s="4" t="s">
        <v>35</v>
      </c>
      <c r="G8" s="4" t="s">
        <v>30</v>
      </c>
      <c r="H8" s="4" t="s">
        <v>41</v>
      </c>
      <c r="I8" s="4" t="s">
        <v>167</v>
      </c>
      <c r="J8" s="5">
        <v>8054</v>
      </c>
      <c r="K8" s="7">
        <f>IF(ROW()=2,IF(Tabela2[[#This Row],[Status]]="Em aberto",0,IF(Tabela2[[#This Row],[Movimentação]]="Saídas",-J8,J8)),IF(Tabela2[[#This Row],[Status]]="Em aberto",0,IF(Tabela2[[#This Row],[Movimentação]]="Saídas",-J8,J8))+K7)</f>
        <v>23111</v>
      </c>
      <c r="L8" s="8">
        <f>IF(ROW()=2,IF(Tabela2[[#This Row],[Movimentação]]="Saídas",-J8,J8),IF(Tabela2[[#This Row],[Movimentação]]="Saídas",-J8,J8)+L7)</f>
        <v>23111</v>
      </c>
    </row>
    <row r="9" spans="1:16" x14ac:dyDescent="0.35">
      <c r="A9" s="1">
        <v>43504</v>
      </c>
      <c r="B9" s="3" t="s">
        <v>15</v>
      </c>
      <c r="C9" t="s">
        <v>11</v>
      </c>
      <c r="D9" s="4" t="s">
        <v>108</v>
      </c>
      <c r="E9" s="4" t="s">
        <v>174</v>
      </c>
      <c r="F9" s="4" t="s">
        <v>36</v>
      </c>
      <c r="G9" s="4" t="s">
        <v>32</v>
      </c>
      <c r="H9" s="4" t="s">
        <v>41</v>
      </c>
      <c r="I9" s="4" t="s">
        <v>168</v>
      </c>
      <c r="J9" s="5">
        <v>9580</v>
      </c>
      <c r="K9" s="7">
        <f>IF(ROW()=2,IF(Tabela2[[#This Row],[Status]]="Em aberto",0,IF(Tabela2[[#This Row],[Movimentação]]="Saídas",-J9,J9)),IF(Tabela2[[#This Row],[Status]]="Em aberto",0,IF(Tabela2[[#This Row],[Movimentação]]="Saídas",-J9,J9))+K8)</f>
        <v>13531</v>
      </c>
      <c r="L9" s="8">
        <f>IF(ROW()=2,IF(Tabela2[[#This Row],[Movimentação]]="Saídas",-J9,J9),IF(Tabela2[[#This Row],[Movimentação]]="Saídas",-J9,J9)+L8)</f>
        <v>13531</v>
      </c>
    </row>
    <row r="10" spans="1:16" x14ac:dyDescent="0.35">
      <c r="A10" s="1">
        <v>43506</v>
      </c>
      <c r="B10" s="3" t="s">
        <v>14</v>
      </c>
      <c r="C10" t="s">
        <v>11</v>
      </c>
      <c r="D10" s="4" t="s">
        <v>64</v>
      </c>
      <c r="E10" s="4" t="s">
        <v>171</v>
      </c>
      <c r="F10" s="4" t="s">
        <v>34</v>
      </c>
      <c r="G10" s="4" t="s">
        <v>33</v>
      </c>
      <c r="H10" s="4" t="s">
        <v>41</v>
      </c>
      <c r="I10" s="4" t="s">
        <v>167</v>
      </c>
      <c r="J10" s="5">
        <v>8422</v>
      </c>
      <c r="K10" s="7">
        <f>IF(ROW()=2,IF(Tabela2[[#This Row],[Status]]="Em aberto",0,IF(Tabela2[[#This Row],[Movimentação]]="Saídas",-J10,J10)),IF(Tabela2[[#This Row],[Status]]="Em aberto",0,IF(Tabela2[[#This Row],[Movimentação]]="Saídas",-J10,J10))+K9)</f>
        <v>21953</v>
      </c>
      <c r="L10" s="8">
        <f>IF(ROW()=2,IF(Tabela2[[#This Row],[Movimentação]]="Saídas",-J10,J10),IF(Tabela2[[#This Row],[Movimentação]]="Saídas",-J10,J10)+L9)</f>
        <v>21953</v>
      </c>
    </row>
    <row r="11" spans="1:16" x14ac:dyDescent="0.35">
      <c r="A11" s="1">
        <v>43530</v>
      </c>
      <c r="B11" s="3" t="s">
        <v>14</v>
      </c>
      <c r="C11" t="s">
        <v>10</v>
      </c>
      <c r="D11" s="4" t="s">
        <v>46</v>
      </c>
      <c r="E11" s="4" t="s">
        <v>174</v>
      </c>
      <c r="F11" s="4" t="s">
        <v>35</v>
      </c>
      <c r="G11" s="4" t="s">
        <v>30</v>
      </c>
      <c r="H11" s="4" t="s">
        <v>41</v>
      </c>
      <c r="I11" s="4" t="s">
        <v>169</v>
      </c>
      <c r="J11" s="5">
        <v>9139</v>
      </c>
      <c r="K11" s="7">
        <f>IF(ROW()=2,IF(Tabela2[[#This Row],[Status]]="Em aberto",0,IF(Tabela2[[#This Row],[Movimentação]]="Saídas",-J11,J11)),IF(Tabela2[[#This Row],[Status]]="Em aberto",0,IF(Tabela2[[#This Row],[Movimentação]]="Saídas",-J11,J11))+K10)</f>
        <v>31092</v>
      </c>
      <c r="L11" s="8">
        <f>IF(ROW()=2,IF(Tabela2[[#This Row],[Movimentação]]="Saídas",-J11,J11),IF(Tabela2[[#This Row],[Movimentação]]="Saídas",-J11,J11)+L10)</f>
        <v>31092</v>
      </c>
    </row>
    <row r="12" spans="1:16" x14ac:dyDescent="0.35">
      <c r="A12" s="1">
        <v>43531</v>
      </c>
      <c r="B12" s="3" t="s">
        <v>15</v>
      </c>
      <c r="C12" t="s">
        <v>22</v>
      </c>
      <c r="D12" s="4" t="s">
        <v>81</v>
      </c>
      <c r="E12" s="4" t="s">
        <v>175</v>
      </c>
      <c r="F12" s="4" t="s">
        <v>36</v>
      </c>
      <c r="G12" s="4" t="s">
        <v>29</v>
      </c>
      <c r="H12" s="4" t="s">
        <v>41</v>
      </c>
      <c r="I12" s="4" t="s">
        <v>169</v>
      </c>
      <c r="J12" s="5">
        <v>5822</v>
      </c>
      <c r="K12" s="7">
        <f>IF(ROW()=2,IF(Tabela2[[#This Row],[Status]]="Em aberto",0,IF(Tabela2[[#This Row],[Movimentação]]="Saídas",-J12,J12)),IF(Tabela2[[#This Row],[Status]]="Em aberto",0,IF(Tabela2[[#This Row],[Movimentação]]="Saídas",-J12,J12))+K11)</f>
        <v>25270</v>
      </c>
      <c r="L12" s="8">
        <f>IF(ROW()=2,IF(Tabela2[[#This Row],[Movimentação]]="Saídas",-J12,J12),IF(Tabela2[[#This Row],[Movimentação]]="Saídas",-J12,J12)+L11)</f>
        <v>25270</v>
      </c>
    </row>
    <row r="13" spans="1:16" x14ac:dyDescent="0.35">
      <c r="A13" s="1">
        <v>43538</v>
      </c>
      <c r="B13" s="3" t="s">
        <v>15</v>
      </c>
      <c r="C13" t="s">
        <v>12</v>
      </c>
      <c r="D13" s="4" t="s">
        <v>132</v>
      </c>
      <c r="E13" s="4" t="s">
        <v>172</v>
      </c>
      <c r="F13" s="4" t="s">
        <v>35</v>
      </c>
      <c r="G13" s="4" t="s">
        <v>30</v>
      </c>
      <c r="H13" s="4" t="s">
        <v>41</v>
      </c>
      <c r="I13" s="4" t="s">
        <v>168</v>
      </c>
      <c r="J13" s="5">
        <v>2350</v>
      </c>
      <c r="K13" s="7">
        <f>IF(ROW()=2,IF(Tabela2[[#This Row],[Status]]="Em aberto",0,IF(Tabela2[[#This Row],[Movimentação]]="Saídas",-J13,J13)),IF(Tabela2[[#This Row],[Status]]="Em aberto",0,IF(Tabela2[[#This Row],[Movimentação]]="Saídas",-J13,J13))+K12)</f>
        <v>22920</v>
      </c>
      <c r="L13" s="8">
        <f>IF(ROW()=2,IF(Tabela2[[#This Row],[Movimentação]]="Saídas",-J13,J13),IF(Tabela2[[#This Row],[Movimentação]]="Saídas",-J13,J13)+L12)</f>
        <v>22920</v>
      </c>
    </row>
    <row r="14" spans="1:16" x14ac:dyDescent="0.35">
      <c r="A14" s="1">
        <v>43543</v>
      </c>
      <c r="B14" s="3" t="s">
        <v>14</v>
      </c>
      <c r="C14" t="s">
        <v>11</v>
      </c>
      <c r="D14" s="4" t="s">
        <v>112</v>
      </c>
      <c r="E14" s="4" t="s">
        <v>172</v>
      </c>
      <c r="F14" s="4" t="s">
        <v>34</v>
      </c>
      <c r="G14" s="4" t="s">
        <v>31</v>
      </c>
      <c r="H14" s="4" t="s">
        <v>41</v>
      </c>
      <c r="I14" s="4" t="s">
        <v>169</v>
      </c>
      <c r="J14" s="5">
        <v>8840</v>
      </c>
      <c r="K14" s="7">
        <f>IF(ROW()=2,IF(Tabela2[[#This Row],[Status]]="Em aberto",0,IF(Tabela2[[#This Row],[Movimentação]]="Saídas",-J14,J14)),IF(Tabela2[[#This Row],[Status]]="Em aberto",0,IF(Tabela2[[#This Row],[Movimentação]]="Saídas",-J14,J14))+K13)</f>
        <v>31760</v>
      </c>
      <c r="L14" s="8">
        <f>IF(ROW()=2,IF(Tabela2[[#This Row],[Movimentação]]="Saídas",-J14,J14),IF(Tabela2[[#This Row],[Movimentação]]="Saídas",-J14,J14)+L13)</f>
        <v>31760</v>
      </c>
    </row>
    <row r="15" spans="1:16" x14ac:dyDescent="0.35">
      <c r="A15" s="1">
        <v>43551</v>
      </c>
      <c r="B15" s="3" t="s">
        <v>15</v>
      </c>
      <c r="C15" t="s">
        <v>11</v>
      </c>
      <c r="D15" s="4" t="s">
        <v>74</v>
      </c>
      <c r="E15" s="4" t="s">
        <v>171</v>
      </c>
      <c r="F15" s="4" t="s">
        <v>35</v>
      </c>
      <c r="G15" s="4" t="s">
        <v>29</v>
      </c>
      <c r="H15" s="4" t="s">
        <v>41</v>
      </c>
      <c r="I15" s="4" t="s">
        <v>167</v>
      </c>
      <c r="J15" s="5">
        <v>295</v>
      </c>
      <c r="K15" s="7">
        <f>IF(ROW()=2,IF(Tabela2[[#This Row],[Status]]="Em aberto",0,IF(Tabela2[[#This Row],[Movimentação]]="Saídas",-J15,J15)),IF(Tabela2[[#This Row],[Status]]="Em aberto",0,IF(Tabela2[[#This Row],[Movimentação]]="Saídas",-J15,J15))+K14)</f>
        <v>31465</v>
      </c>
      <c r="L15" s="8">
        <f>IF(ROW()=2,IF(Tabela2[[#This Row],[Movimentação]]="Saídas",-J15,J15),IF(Tabela2[[#This Row],[Movimentação]]="Saídas",-J15,J15)+L14)</f>
        <v>31465</v>
      </c>
    </row>
    <row r="16" spans="1:16" x14ac:dyDescent="0.35">
      <c r="A16" s="1">
        <v>43569</v>
      </c>
      <c r="B16" s="3" t="s">
        <v>14</v>
      </c>
      <c r="C16" t="s">
        <v>11</v>
      </c>
      <c r="D16" s="4" t="s">
        <v>127</v>
      </c>
      <c r="E16" s="4" t="s">
        <v>175</v>
      </c>
      <c r="F16" s="4" t="s">
        <v>34</v>
      </c>
      <c r="G16" s="4" t="s">
        <v>30</v>
      </c>
      <c r="H16" s="4" t="s">
        <v>41</v>
      </c>
      <c r="I16" s="4" t="s">
        <v>168</v>
      </c>
      <c r="J16" s="5">
        <v>6551</v>
      </c>
      <c r="K16" s="7">
        <f>IF(ROW()=2,IF(Tabela2[[#This Row],[Status]]="Em aberto",0,IF(Tabela2[[#This Row],[Movimentação]]="Saídas",-J16,J16)),IF(Tabela2[[#This Row],[Status]]="Em aberto",0,IF(Tabela2[[#This Row],[Movimentação]]="Saídas",-J16,J16))+K15)</f>
        <v>38016</v>
      </c>
      <c r="L16" s="8">
        <f>IF(ROW()=2,IF(Tabela2[[#This Row],[Movimentação]]="Saídas",-J16,J16),IF(Tabela2[[#This Row],[Movimentação]]="Saídas",-J16,J16)+L15)</f>
        <v>38016</v>
      </c>
    </row>
    <row r="17" spans="1:12" x14ac:dyDescent="0.35">
      <c r="A17" s="1">
        <v>43570</v>
      </c>
      <c r="B17" s="3" t="s">
        <v>15</v>
      </c>
      <c r="C17" t="s">
        <v>22</v>
      </c>
      <c r="D17" s="4" t="s">
        <v>82</v>
      </c>
      <c r="E17" s="4" t="s">
        <v>176</v>
      </c>
      <c r="F17" s="4" t="s">
        <v>34</v>
      </c>
      <c r="G17" s="4" t="s">
        <v>30</v>
      </c>
      <c r="H17" s="4" t="s">
        <v>41</v>
      </c>
      <c r="I17" s="4" t="s">
        <v>169</v>
      </c>
      <c r="J17" s="5">
        <v>9046</v>
      </c>
      <c r="K17" s="7">
        <f>IF(ROW()=2,IF(Tabela2[[#This Row],[Status]]="Em aberto",0,IF(Tabela2[[#This Row],[Movimentação]]="Saídas",-J17,J17)),IF(Tabela2[[#This Row],[Status]]="Em aberto",0,IF(Tabela2[[#This Row],[Movimentação]]="Saídas",-J17,J17))+K16)</f>
        <v>28970</v>
      </c>
      <c r="L17" s="8">
        <f>IF(ROW()=2,IF(Tabela2[[#This Row],[Movimentação]]="Saídas",-J17,J17),IF(Tabela2[[#This Row],[Movimentação]]="Saídas",-J17,J17)+L16)</f>
        <v>28970</v>
      </c>
    </row>
    <row r="18" spans="1:12" x14ac:dyDescent="0.35">
      <c r="A18" s="1">
        <v>43572</v>
      </c>
      <c r="B18" s="3" t="s">
        <v>15</v>
      </c>
      <c r="C18" t="s">
        <v>12</v>
      </c>
      <c r="D18" s="4" t="s">
        <v>44</v>
      </c>
      <c r="E18" s="4" t="s">
        <v>176</v>
      </c>
      <c r="F18" s="4" t="s">
        <v>34</v>
      </c>
      <c r="G18" s="4" t="s">
        <v>32</v>
      </c>
      <c r="H18" s="4" t="s">
        <v>41</v>
      </c>
      <c r="I18" s="4" t="s">
        <v>169</v>
      </c>
      <c r="J18" s="5">
        <v>7991</v>
      </c>
      <c r="K18" s="7">
        <f>IF(ROW()=2,IF(Tabela2[[#This Row],[Status]]="Em aberto",0,IF(Tabela2[[#This Row],[Movimentação]]="Saídas",-J18,J18)),IF(Tabela2[[#This Row],[Status]]="Em aberto",0,IF(Tabela2[[#This Row],[Movimentação]]="Saídas",-J18,J18))+K17)</f>
        <v>20979</v>
      </c>
      <c r="L18" s="8">
        <f>IF(ROW()=2,IF(Tabela2[[#This Row],[Movimentação]]="Saídas",-J18,J18),IF(Tabela2[[#This Row],[Movimentação]]="Saídas",-J18,J18)+L17)</f>
        <v>20979</v>
      </c>
    </row>
    <row r="19" spans="1:12" x14ac:dyDescent="0.35">
      <c r="A19" s="1">
        <v>43578</v>
      </c>
      <c r="B19" s="3" t="s">
        <v>14</v>
      </c>
      <c r="C19" t="s">
        <v>13</v>
      </c>
      <c r="D19" s="4" t="s">
        <v>70</v>
      </c>
      <c r="E19" s="4" t="s">
        <v>173</v>
      </c>
      <c r="F19" s="4" t="s">
        <v>36</v>
      </c>
      <c r="G19" s="4" t="s">
        <v>33</v>
      </c>
      <c r="H19" s="4" t="s">
        <v>41</v>
      </c>
      <c r="I19" s="4" t="s">
        <v>168</v>
      </c>
      <c r="J19" s="5">
        <v>5417</v>
      </c>
      <c r="K19" s="7">
        <f>IF(ROW()=2,IF(Tabela2[[#This Row],[Status]]="Em aberto",0,IF(Tabela2[[#This Row],[Movimentação]]="Saídas",-J19,J19)),IF(Tabela2[[#This Row],[Status]]="Em aberto",0,IF(Tabela2[[#This Row],[Movimentação]]="Saídas",-J19,J19))+K18)</f>
        <v>26396</v>
      </c>
      <c r="L19" s="8">
        <f>IF(ROW()=2,IF(Tabela2[[#This Row],[Movimentação]]="Saídas",-J19,J19),IF(Tabela2[[#This Row],[Movimentação]]="Saídas",-J19,J19)+L18)</f>
        <v>26396</v>
      </c>
    </row>
    <row r="20" spans="1:12" x14ac:dyDescent="0.35">
      <c r="A20" s="1">
        <v>43580</v>
      </c>
      <c r="B20" s="3" t="s">
        <v>14</v>
      </c>
      <c r="C20" t="s">
        <v>10</v>
      </c>
      <c r="D20" s="4" t="s">
        <v>101</v>
      </c>
      <c r="E20" s="4" t="s">
        <v>176</v>
      </c>
      <c r="F20" s="4" t="s">
        <v>34</v>
      </c>
      <c r="G20" s="4" t="s">
        <v>31</v>
      </c>
      <c r="H20" s="4" t="s">
        <v>41</v>
      </c>
      <c r="I20" s="4" t="s">
        <v>167</v>
      </c>
      <c r="J20" s="5">
        <v>9264</v>
      </c>
      <c r="K20" s="7">
        <f>IF(ROW()=2,IF(Tabela2[[#This Row],[Status]]="Em aberto",0,IF(Tabela2[[#This Row],[Movimentação]]="Saídas",-J20,J20)),IF(Tabela2[[#This Row],[Status]]="Em aberto",0,IF(Tabela2[[#This Row],[Movimentação]]="Saídas",-J20,J20))+K19)</f>
        <v>35660</v>
      </c>
      <c r="L20" s="8">
        <f>IF(ROW()=2,IF(Tabela2[[#This Row],[Movimentação]]="Saídas",-J20,J20),IF(Tabela2[[#This Row],[Movimentação]]="Saídas",-J20,J20)+L19)</f>
        <v>35660</v>
      </c>
    </row>
    <row r="21" spans="1:12" x14ac:dyDescent="0.35">
      <c r="A21" s="1">
        <v>43586</v>
      </c>
      <c r="B21" s="3" t="s">
        <v>14</v>
      </c>
      <c r="C21" t="s">
        <v>13</v>
      </c>
      <c r="D21" s="4" t="s">
        <v>87</v>
      </c>
      <c r="E21" s="4" t="s">
        <v>174</v>
      </c>
      <c r="F21" s="4" t="s">
        <v>36</v>
      </c>
      <c r="G21" s="4" t="s">
        <v>30</v>
      </c>
      <c r="H21" s="4" t="s">
        <v>41</v>
      </c>
      <c r="I21" s="4" t="s">
        <v>167</v>
      </c>
      <c r="J21" s="5">
        <v>1179</v>
      </c>
      <c r="K21" s="7">
        <f>IF(ROW()=2,IF(Tabela2[[#This Row],[Status]]="Em aberto",0,IF(Tabela2[[#This Row],[Movimentação]]="Saídas",-J21,J21)),IF(Tabela2[[#This Row],[Status]]="Em aberto",0,IF(Tabela2[[#This Row],[Movimentação]]="Saídas",-J21,J21))+K20)</f>
        <v>36839</v>
      </c>
      <c r="L21" s="8">
        <f>IF(ROW()=2,IF(Tabela2[[#This Row],[Movimentação]]="Saídas",-J21,J21),IF(Tabela2[[#This Row],[Movimentação]]="Saídas",-J21,J21)+L20)</f>
        <v>36839</v>
      </c>
    </row>
    <row r="22" spans="1:12" x14ac:dyDescent="0.35">
      <c r="A22" s="1">
        <v>43594</v>
      </c>
      <c r="B22" s="3" t="s">
        <v>15</v>
      </c>
      <c r="C22" t="s">
        <v>18</v>
      </c>
      <c r="D22" s="4" t="s">
        <v>71</v>
      </c>
      <c r="E22" s="4" t="s">
        <v>174</v>
      </c>
      <c r="F22" s="4" t="s">
        <v>35</v>
      </c>
      <c r="G22" s="4" t="s">
        <v>29</v>
      </c>
      <c r="H22" s="4" t="s">
        <v>41</v>
      </c>
      <c r="I22" s="4" t="s">
        <v>168</v>
      </c>
      <c r="J22" s="5">
        <v>5293</v>
      </c>
      <c r="K22" s="7">
        <f>IF(ROW()=2,IF(Tabela2[[#This Row],[Status]]="Em aberto",0,IF(Tabela2[[#This Row],[Movimentação]]="Saídas",-J22,J22)),IF(Tabela2[[#This Row],[Status]]="Em aberto",0,IF(Tabela2[[#This Row],[Movimentação]]="Saídas",-J22,J22))+K21)</f>
        <v>31546</v>
      </c>
      <c r="L22" s="8">
        <f>IF(ROW()=2,IF(Tabela2[[#This Row],[Movimentação]]="Saídas",-J22,J22),IF(Tabela2[[#This Row],[Movimentação]]="Saídas",-J22,J22)+L21)</f>
        <v>31546</v>
      </c>
    </row>
    <row r="23" spans="1:12" x14ac:dyDescent="0.35">
      <c r="A23" s="1">
        <v>43609</v>
      </c>
      <c r="B23" s="3" t="s">
        <v>14</v>
      </c>
      <c r="C23" t="s">
        <v>13</v>
      </c>
      <c r="D23" s="4" t="s">
        <v>75</v>
      </c>
      <c r="E23" s="4" t="s">
        <v>171</v>
      </c>
      <c r="F23" s="4" t="s">
        <v>35</v>
      </c>
      <c r="G23" s="4" t="s">
        <v>32</v>
      </c>
      <c r="H23" s="4" t="s">
        <v>41</v>
      </c>
      <c r="I23" s="4" t="s">
        <v>169</v>
      </c>
      <c r="J23" s="5">
        <v>840</v>
      </c>
      <c r="K23" s="7">
        <f>IF(ROW()=2,IF(Tabela2[[#This Row],[Status]]="Em aberto",0,IF(Tabela2[[#This Row],[Movimentação]]="Saídas",-J23,J23)),IF(Tabela2[[#This Row],[Status]]="Em aberto",0,IF(Tabela2[[#This Row],[Movimentação]]="Saídas",-J23,J23))+K22)</f>
        <v>32386</v>
      </c>
      <c r="L23" s="8">
        <f>IF(ROW()=2,IF(Tabela2[[#This Row],[Movimentação]]="Saídas",-J23,J23),IF(Tabela2[[#This Row],[Movimentação]]="Saídas",-J23,J23)+L22)</f>
        <v>32386</v>
      </c>
    </row>
    <row r="24" spans="1:12" x14ac:dyDescent="0.35">
      <c r="A24" s="1">
        <v>43624</v>
      </c>
      <c r="B24" s="3" t="s">
        <v>15</v>
      </c>
      <c r="C24" t="s">
        <v>13</v>
      </c>
      <c r="D24" s="4" t="s">
        <v>140</v>
      </c>
      <c r="E24" s="4" t="s">
        <v>173</v>
      </c>
      <c r="F24" s="4" t="s">
        <v>34</v>
      </c>
      <c r="G24" s="4" t="s">
        <v>32</v>
      </c>
      <c r="H24" s="4" t="s">
        <v>41</v>
      </c>
      <c r="I24" s="4" t="s">
        <v>168</v>
      </c>
      <c r="J24" s="5">
        <v>9324</v>
      </c>
      <c r="K24" s="7">
        <f>IF(ROW()=2,IF(Tabela2[[#This Row],[Status]]="Em aberto",0,IF(Tabela2[[#This Row],[Movimentação]]="Saídas",-J24,J24)),IF(Tabela2[[#This Row],[Status]]="Em aberto",0,IF(Tabela2[[#This Row],[Movimentação]]="Saídas",-J24,J24))+K23)</f>
        <v>23062</v>
      </c>
      <c r="L24" s="8">
        <f>IF(ROW()=2,IF(Tabela2[[#This Row],[Movimentação]]="Saídas",-J24,J24),IF(Tabela2[[#This Row],[Movimentação]]="Saídas",-J24,J24)+L23)</f>
        <v>23062</v>
      </c>
    </row>
    <row r="25" spans="1:12" x14ac:dyDescent="0.35">
      <c r="A25" s="1">
        <v>43627</v>
      </c>
      <c r="B25" s="3" t="s">
        <v>14</v>
      </c>
      <c r="C25" t="s">
        <v>11</v>
      </c>
      <c r="D25" s="4" t="s">
        <v>88</v>
      </c>
      <c r="E25" s="4" t="s">
        <v>177</v>
      </c>
      <c r="F25" s="4" t="s">
        <v>35</v>
      </c>
      <c r="G25" s="4" t="s">
        <v>32</v>
      </c>
      <c r="H25" s="4" t="s">
        <v>41</v>
      </c>
      <c r="I25" s="4" t="s">
        <v>168</v>
      </c>
      <c r="J25" s="5">
        <v>659</v>
      </c>
      <c r="K25" s="7">
        <f>IF(ROW()=2,IF(Tabela2[[#This Row],[Status]]="Em aberto",0,IF(Tabela2[[#This Row],[Movimentação]]="Saídas",-J25,J25)),IF(Tabela2[[#This Row],[Status]]="Em aberto",0,IF(Tabela2[[#This Row],[Movimentação]]="Saídas",-J25,J25))+K24)</f>
        <v>23721</v>
      </c>
      <c r="L25" s="8">
        <f>IF(ROW()=2,IF(Tabela2[[#This Row],[Movimentação]]="Saídas",-J25,J25),IF(Tabela2[[#This Row],[Movimentação]]="Saídas",-J25,J25)+L24)</f>
        <v>23721</v>
      </c>
    </row>
    <row r="26" spans="1:12" x14ac:dyDescent="0.35">
      <c r="A26" s="1">
        <v>43633</v>
      </c>
      <c r="B26" s="3" t="s">
        <v>14</v>
      </c>
      <c r="C26" t="s">
        <v>13</v>
      </c>
      <c r="D26" s="4" t="s">
        <v>78</v>
      </c>
      <c r="E26" s="4" t="s">
        <v>176</v>
      </c>
      <c r="F26" s="4" t="s">
        <v>34</v>
      </c>
      <c r="G26" s="4" t="s">
        <v>29</v>
      </c>
      <c r="H26" s="4" t="s">
        <v>41</v>
      </c>
      <c r="I26" s="4" t="s">
        <v>169</v>
      </c>
      <c r="J26" s="5">
        <v>7992</v>
      </c>
      <c r="K26" s="7">
        <f>IF(ROW()=2,IF(Tabela2[[#This Row],[Status]]="Em aberto",0,IF(Tabela2[[#This Row],[Movimentação]]="Saídas",-J26,J26)),IF(Tabela2[[#This Row],[Status]]="Em aberto",0,IF(Tabela2[[#This Row],[Movimentação]]="Saídas",-J26,J26))+K25)</f>
        <v>31713</v>
      </c>
      <c r="L26" s="8">
        <f>IF(ROW()=2,IF(Tabela2[[#This Row],[Movimentação]]="Saídas",-J26,J26),IF(Tabela2[[#This Row],[Movimentação]]="Saídas",-J26,J26)+L25)</f>
        <v>31713</v>
      </c>
    </row>
    <row r="27" spans="1:12" x14ac:dyDescent="0.35">
      <c r="A27" s="1">
        <v>43638</v>
      </c>
      <c r="B27" s="3" t="s">
        <v>14</v>
      </c>
      <c r="C27" t="s">
        <v>25</v>
      </c>
      <c r="D27" s="4" t="s">
        <v>136</v>
      </c>
      <c r="E27" s="4" t="s">
        <v>171</v>
      </c>
      <c r="F27" s="4" t="s">
        <v>34</v>
      </c>
      <c r="G27" s="4" t="s">
        <v>32</v>
      </c>
      <c r="H27" s="4" t="s">
        <v>41</v>
      </c>
      <c r="I27" s="4" t="s">
        <v>167</v>
      </c>
      <c r="J27" s="5">
        <v>8592</v>
      </c>
      <c r="K27" s="7">
        <f>IF(ROW()=2,IF(Tabela2[[#This Row],[Status]]="Em aberto",0,IF(Tabela2[[#This Row],[Movimentação]]="Saídas",-J27,J27)),IF(Tabela2[[#This Row],[Status]]="Em aberto",0,IF(Tabela2[[#This Row],[Movimentação]]="Saídas",-J27,J27))+K26)</f>
        <v>40305</v>
      </c>
      <c r="L27" s="8">
        <f>IF(ROW()=2,IF(Tabela2[[#This Row],[Movimentação]]="Saídas",-J27,J27),IF(Tabela2[[#This Row],[Movimentação]]="Saídas",-J27,J27)+L26)</f>
        <v>40305</v>
      </c>
    </row>
    <row r="28" spans="1:12" x14ac:dyDescent="0.35">
      <c r="A28" s="1">
        <v>43647</v>
      </c>
      <c r="B28" s="3" t="s">
        <v>14</v>
      </c>
      <c r="C28" t="s">
        <v>25</v>
      </c>
      <c r="D28" s="4" t="s">
        <v>90</v>
      </c>
      <c r="E28" s="4" t="s">
        <v>174</v>
      </c>
      <c r="F28" s="4" t="s">
        <v>35</v>
      </c>
      <c r="G28" s="4" t="s">
        <v>29</v>
      </c>
      <c r="H28" s="4" t="s">
        <v>41</v>
      </c>
      <c r="I28" s="4" t="s">
        <v>169</v>
      </c>
      <c r="J28" s="5">
        <v>7233</v>
      </c>
      <c r="K28" s="7">
        <f>IF(ROW()=2,IF(Tabela2[[#This Row],[Status]]="Em aberto",0,IF(Tabela2[[#This Row],[Movimentação]]="Saídas",-J28,J28)),IF(Tabela2[[#This Row],[Status]]="Em aberto",0,IF(Tabela2[[#This Row],[Movimentação]]="Saídas",-J28,J28))+K27)</f>
        <v>47538</v>
      </c>
      <c r="L28" s="8">
        <f>IF(ROW()=2,IF(Tabela2[[#This Row],[Movimentação]]="Saídas",-J28,J28),IF(Tabela2[[#This Row],[Movimentação]]="Saídas",-J28,J28)+L27)</f>
        <v>47538</v>
      </c>
    </row>
    <row r="29" spans="1:12" x14ac:dyDescent="0.35">
      <c r="A29" s="1">
        <v>43649</v>
      </c>
      <c r="B29" s="3" t="s">
        <v>14</v>
      </c>
      <c r="C29" t="s">
        <v>12</v>
      </c>
      <c r="D29" s="4" t="s">
        <v>134</v>
      </c>
      <c r="E29" s="4" t="s">
        <v>172</v>
      </c>
      <c r="F29" s="4" t="s">
        <v>35</v>
      </c>
      <c r="G29" s="4" t="s">
        <v>30</v>
      </c>
      <c r="H29" s="4" t="s">
        <v>41</v>
      </c>
      <c r="I29" s="4" t="s">
        <v>167</v>
      </c>
      <c r="J29" s="5">
        <v>5653</v>
      </c>
      <c r="K29" s="7">
        <f>IF(ROW()=2,IF(Tabela2[[#This Row],[Status]]="Em aberto",0,IF(Tabela2[[#This Row],[Movimentação]]="Saídas",-J29,J29)),IF(Tabela2[[#This Row],[Status]]="Em aberto",0,IF(Tabela2[[#This Row],[Movimentação]]="Saídas",-J29,J29))+K28)</f>
        <v>53191</v>
      </c>
      <c r="L29" s="8">
        <f>IF(ROW()=2,IF(Tabela2[[#This Row],[Movimentação]]="Saídas",-J29,J29),IF(Tabela2[[#This Row],[Movimentação]]="Saídas",-J29,J29)+L28)</f>
        <v>53191</v>
      </c>
    </row>
    <row r="30" spans="1:12" x14ac:dyDescent="0.35">
      <c r="A30" s="1">
        <v>43651</v>
      </c>
      <c r="B30" s="3" t="s">
        <v>14</v>
      </c>
      <c r="C30" t="s">
        <v>23</v>
      </c>
      <c r="D30" s="4" t="s">
        <v>119</v>
      </c>
      <c r="E30" s="4" t="s">
        <v>171</v>
      </c>
      <c r="F30" s="4" t="s">
        <v>36</v>
      </c>
      <c r="G30" s="4" t="s">
        <v>30</v>
      </c>
      <c r="H30" s="4" t="s">
        <v>41</v>
      </c>
      <c r="I30" s="4" t="s">
        <v>167</v>
      </c>
      <c r="J30" s="5">
        <v>625</v>
      </c>
      <c r="K30" s="7">
        <f>IF(ROW()=2,IF(Tabela2[[#This Row],[Status]]="Em aberto",0,IF(Tabela2[[#This Row],[Movimentação]]="Saídas",-J30,J30)),IF(Tabela2[[#This Row],[Status]]="Em aberto",0,IF(Tabela2[[#This Row],[Movimentação]]="Saídas",-J30,J30))+K29)</f>
        <v>53816</v>
      </c>
      <c r="L30" s="8">
        <f>IF(ROW()=2,IF(Tabela2[[#This Row],[Movimentação]]="Saídas",-J30,J30),IF(Tabela2[[#This Row],[Movimentação]]="Saídas",-J30,J30)+L29)</f>
        <v>53816</v>
      </c>
    </row>
    <row r="31" spans="1:12" x14ac:dyDescent="0.35">
      <c r="A31" s="1">
        <v>43651</v>
      </c>
      <c r="B31" s="3" t="s">
        <v>14</v>
      </c>
      <c r="C31" t="s">
        <v>11</v>
      </c>
      <c r="D31" s="4" t="s">
        <v>121</v>
      </c>
      <c r="E31" s="4" t="s">
        <v>176</v>
      </c>
      <c r="F31" s="4" t="s">
        <v>35</v>
      </c>
      <c r="G31" s="4" t="s">
        <v>32</v>
      </c>
      <c r="H31" s="4" t="s">
        <v>41</v>
      </c>
      <c r="I31" s="4" t="s">
        <v>169</v>
      </c>
      <c r="J31" s="5">
        <v>5693</v>
      </c>
      <c r="K31" s="7">
        <f>IF(ROW()=2,IF(Tabela2[[#This Row],[Status]]="Em aberto",0,IF(Tabela2[[#This Row],[Movimentação]]="Saídas",-J31,J31)),IF(Tabela2[[#This Row],[Status]]="Em aberto",0,IF(Tabela2[[#This Row],[Movimentação]]="Saídas",-J31,J31))+K30)</f>
        <v>59509</v>
      </c>
      <c r="L31" s="8">
        <f>IF(ROW()=2,IF(Tabela2[[#This Row],[Movimentação]]="Saídas",-J31,J31),IF(Tabela2[[#This Row],[Movimentação]]="Saídas",-J31,J31)+L30)</f>
        <v>59509</v>
      </c>
    </row>
    <row r="32" spans="1:12" x14ac:dyDescent="0.35">
      <c r="A32" s="1">
        <v>43662</v>
      </c>
      <c r="B32" s="3" t="s">
        <v>15</v>
      </c>
      <c r="C32" t="s">
        <v>12</v>
      </c>
      <c r="D32" s="4" t="s">
        <v>120</v>
      </c>
      <c r="E32" s="4" t="s">
        <v>171</v>
      </c>
      <c r="F32" s="4" t="s">
        <v>34</v>
      </c>
      <c r="G32" s="4" t="s">
        <v>32</v>
      </c>
      <c r="H32" s="4" t="s">
        <v>41</v>
      </c>
      <c r="I32" s="4" t="s">
        <v>169</v>
      </c>
      <c r="J32" s="5">
        <v>269</v>
      </c>
      <c r="K32" s="7">
        <f>IF(ROW()=2,IF(Tabela2[[#This Row],[Status]]="Em aberto",0,IF(Tabela2[[#This Row],[Movimentação]]="Saídas",-J32,J32)),IF(Tabela2[[#This Row],[Status]]="Em aberto",0,IF(Tabela2[[#This Row],[Movimentação]]="Saídas",-J32,J32))+K31)</f>
        <v>59240</v>
      </c>
      <c r="L32" s="8">
        <f>IF(ROW()=2,IF(Tabela2[[#This Row],[Movimentação]]="Saídas",-J32,J32),IF(Tabela2[[#This Row],[Movimentação]]="Saídas",-J32,J32)+L31)</f>
        <v>59240</v>
      </c>
    </row>
    <row r="33" spans="1:12" x14ac:dyDescent="0.35">
      <c r="A33" s="1">
        <v>43673</v>
      </c>
      <c r="B33" s="3" t="s">
        <v>14</v>
      </c>
      <c r="C33" t="s">
        <v>12</v>
      </c>
      <c r="D33" s="4" t="s">
        <v>68</v>
      </c>
      <c r="E33" s="4" t="s">
        <v>174</v>
      </c>
      <c r="F33" s="4" t="s">
        <v>34</v>
      </c>
      <c r="G33" s="4" t="s">
        <v>29</v>
      </c>
      <c r="H33" s="4" t="s">
        <v>41</v>
      </c>
      <c r="I33" s="4" t="s">
        <v>169</v>
      </c>
      <c r="J33" s="5">
        <v>9291</v>
      </c>
      <c r="K33" s="7">
        <f>IF(ROW()=2,IF(Tabela2[[#This Row],[Status]]="Em aberto",0,IF(Tabela2[[#This Row],[Movimentação]]="Saídas",-J33,J33)),IF(Tabela2[[#This Row],[Status]]="Em aberto",0,IF(Tabela2[[#This Row],[Movimentação]]="Saídas",-J33,J33))+K32)</f>
        <v>68531</v>
      </c>
      <c r="L33" s="8">
        <f>IF(ROW()=2,IF(Tabela2[[#This Row],[Movimentação]]="Saídas",-J33,J33),IF(Tabela2[[#This Row],[Movimentação]]="Saídas",-J33,J33)+L32)</f>
        <v>68531</v>
      </c>
    </row>
    <row r="34" spans="1:12" x14ac:dyDescent="0.35">
      <c r="A34" s="1">
        <v>43678</v>
      </c>
      <c r="B34" s="3" t="s">
        <v>15</v>
      </c>
      <c r="C34" t="s">
        <v>13</v>
      </c>
      <c r="D34" s="4" t="s">
        <v>76</v>
      </c>
      <c r="E34" s="4" t="s">
        <v>172</v>
      </c>
      <c r="F34" s="4" t="s">
        <v>34</v>
      </c>
      <c r="G34" s="4" t="s">
        <v>31</v>
      </c>
      <c r="H34" s="4" t="s">
        <v>41</v>
      </c>
      <c r="I34" s="4" t="s">
        <v>167</v>
      </c>
      <c r="J34" s="5">
        <v>2221</v>
      </c>
      <c r="K34" s="7">
        <f>IF(ROW()=2,IF(Tabela2[[#This Row],[Status]]="Em aberto",0,IF(Tabela2[[#This Row],[Movimentação]]="Saídas",-J34,J34)),IF(Tabela2[[#This Row],[Status]]="Em aberto",0,IF(Tabela2[[#This Row],[Movimentação]]="Saídas",-J34,J34))+K33)</f>
        <v>66310</v>
      </c>
      <c r="L34" s="8">
        <f>IF(ROW()=2,IF(Tabela2[[#This Row],[Movimentação]]="Saídas",-J34,J34),IF(Tabela2[[#This Row],[Movimentação]]="Saídas",-J34,J34)+L33)</f>
        <v>66310</v>
      </c>
    </row>
    <row r="35" spans="1:12" x14ac:dyDescent="0.35">
      <c r="A35" s="1">
        <v>43679</v>
      </c>
      <c r="B35" s="3" t="s">
        <v>15</v>
      </c>
      <c r="C35" t="s">
        <v>10</v>
      </c>
      <c r="D35" s="4" t="s">
        <v>62</v>
      </c>
      <c r="E35" s="4" t="s">
        <v>175</v>
      </c>
      <c r="F35" s="4" t="s">
        <v>36</v>
      </c>
      <c r="G35" s="4" t="s">
        <v>29</v>
      </c>
      <c r="H35" s="4" t="s">
        <v>41</v>
      </c>
      <c r="I35" s="4" t="s">
        <v>169</v>
      </c>
      <c r="J35" s="5">
        <v>5727</v>
      </c>
      <c r="K35" s="7">
        <f>IF(ROW()=2,IF(Tabela2[[#This Row],[Status]]="Em aberto",0,IF(Tabela2[[#This Row],[Movimentação]]="Saídas",-J35,J35)),IF(Tabela2[[#This Row],[Status]]="Em aberto",0,IF(Tabela2[[#This Row],[Movimentação]]="Saídas",-J35,J35))+K34)</f>
        <v>60583</v>
      </c>
      <c r="L35" s="8">
        <f>IF(ROW()=2,IF(Tabela2[[#This Row],[Movimentação]]="Saídas",-J35,J35),IF(Tabela2[[#This Row],[Movimentação]]="Saídas",-J35,J35)+L34)</f>
        <v>60583</v>
      </c>
    </row>
    <row r="36" spans="1:12" x14ac:dyDescent="0.35">
      <c r="A36" s="1">
        <v>43679</v>
      </c>
      <c r="B36" s="3" t="s">
        <v>15</v>
      </c>
      <c r="C36" t="s">
        <v>18</v>
      </c>
      <c r="D36" s="4" t="s">
        <v>116</v>
      </c>
      <c r="E36" s="4" t="s">
        <v>172</v>
      </c>
      <c r="F36" s="4" t="s">
        <v>34</v>
      </c>
      <c r="G36" s="4" t="s">
        <v>29</v>
      </c>
      <c r="H36" s="4" t="s">
        <v>41</v>
      </c>
      <c r="I36" s="4" t="s">
        <v>167</v>
      </c>
      <c r="J36" s="5">
        <v>2730</v>
      </c>
      <c r="K36" s="7">
        <f>IF(ROW()=2,IF(Tabela2[[#This Row],[Status]]="Em aberto",0,IF(Tabela2[[#This Row],[Movimentação]]="Saídas",-J36,J36)),IF(Tabela2[[#This Row],[Status]]="Em aberto",0,IF(Tabela2[[#This Row],[Movimentação]]="Saídas",-J36,J36))+K35)</f>
        <v>57853</v>
      </c>
      <c r="L36" s="8">
        <f>IF(ROW()=2,IF(Tabela2[[#This Row],[Movimentação]]="Saídas",-J36,J36),IF(Tabela2[[#This Row],[Movimentação]]="Saídas",-J36,J36)+L35)</f>
        <v>57853</v>
      </c>
    </row>
    <row r="37" spans="1:12" x14ac:dyDescent="0.35">
      <c r="A37" s="1">
        <v>43688</v>
      </c>
      <c r="B37" s="3" t="s">
        <v>15</v>
      </c>
      <c r="C37" t="s">
        <v>13</v>
      </c>
      <c r="D37" s="4" t="s">
        <v>138</v>
      </c>
      <c r="E37" s="4" t="s">
        <v>176</v>
      </c>
      <c r="F37" s="4" t="s">
        <v>36</v>
      </c>
      <c r="G37" s="4" t="s">
        <v>33</v>
      </c>
      <c r="H37" s="4" t="s">
        <v>41</v>
      </c>
      <c r="I37" s="4" t="s">
        <v>167</v>
      </c>
      <c r="J37" s="5">
        <v>3034</v>
      </c>
      <c r="K37" s="7">
        <f>IF(ROW()=2,IF(Tabela2[[#This Row],[Status]]="Em aberto",0,IF(Tabela2[[#This Row],[Movimentação]]="Saídas",-J37,J37)),IF(Tabela2[[#This Row],[Status]]="Em aberto",0,IF(Tabela2[[#This Row],[Movimentação]]="Saídas",-J37,J37))+K36)</f>
        <v>54819</v>
      </c>
      <c r="L37" s="8">
        <f>IF(ROW()=2,IF(Tabela2[[#This Row],[Movimentação]]="Saídas",-J37,J37),IF(Tabela2[[#This Row],[Movimentação]]="Saídas",-J37,J37)+L36)</f>
        <v>54819</v>
      </c>
    </row>
    <row r="38" spans="1:12" x14ac:dyDescent="0.35">
      <c r="A38" s="1">
        <v>43695</v>
      </c>
      <c r="B38" s="3" t="s">
        <v>14</v>
      </c>
      <c r="C38" t="s">
        <v>13</v>
      </c>
      <c r="D38" s="4" t="s">
        <v>42</v>
      </c>
      <c r="E38" s="4" t="s">
        <v>176</v>
      </c>
      <c r="F38" s="4" t="s">
        <v>36</v>
      </c>
      <c r="G38" s="4" t="s">
        <v>33</v>
      </c>
      <c r="H38" s="4" t="s">
        <v>41</v>
      </c>
      <c r="I38" s="4" t="s">
        <v>169</v>
      </c>
      <c r="J38" s="5">
        <v>9860</v>
      </c>
      <c r="K38" s="5">
        <f>IF(ROW()=2,IF(Tabela2[[#This Row],[Status]]="Em aberto",0,IF(Tabela2[[#This Row],[Movimentação]]="Saídas",-J38,J38)),IF(Tabela2[[#This Row],[Status]]="Em aberto",0,IF(Tabela2[[#This Row],[Movimentação]]="Saídas",-J38,J38))+K37)</f>
        <v>64679</v>
      </c>
      <c r="L38" s="5">
        <f>IF(ROW()=2,IF(Tabela2[[#This Row],[Movimentação]]="Saídas",-J38,J38),IF(Tabela2[[#This Row],[Movimentação]]="Saídas",-J38,J38)+L37)</f>
        <v>64679</v>
      </c>
    </row>
    <row r="39" spans="1:12" x14ac:dyDescent="0.35">
      <c r="A39" s="1">
        <v>43699</v>
      </c>
      <c r="B39" s="3" t="s">
        <v>14</v>
      </c>
      <c r="C39" t="s">
        <v>12</v>
      </c>
      <c r="D39" s="4" t="s">
        <v>122</v>
      </c>
      <c r="E39" s="4" t="s">
        <v>176</v>
      </c>
      <c r="F39" s="4" t="s">
        <v>36</v>
      </c>
      <c r="G39" s="4" t="s">
        <v>29</v>
      </c>
      <c r="H39" s="4" t="s">
        <v>41</v>
      </c>
      <c r="I39" s="4" t="s">
        <v>168</v>
      </c>
      <c r="J39" s="5">
        <v>8918</v>
      </c>
      <c r="K39" s="7">
        <f>IF(ROW()=2,IF(Tabela2[[#This Row],[Status]]="Em aberto",0,IF(Tabela2[[#This Row],[Movimentação]]="Saídas",-J39,J39)),IF(Tabela2[[#This Row],[Status]]="Em aberto",0,IF(Tabela2[[#This Row],[Movimentação]]="Saídas",-J39,J39))+K38)</f>
        <v>73597</v>
      </c>
      <c r="L39" s="8">
        <f>IF(ROW()=2,IF(Tabela2[[#This Row],[Movimentação]]="Saídas",-J39,J39),IF(Tabela2[[#This Row],[Movimentação]]="Saídas",-J39,J39)+L38)</f>
        <v>73597</v>
      </c>
    </row>
    <row r="40" spans="1:12" x14ac:dyDescent="0.35">
      <c r="A40" s="1">
        <v>43707</v>
      </c>
      <c r="B40" s="3" t="s">
        <v>15</v>
      </c>
      <c r="C40" t="s">
        <v>12</v>
      </c>
      <c r="D40" s="4" t="s">
        <v>98</v>
      </c>
      <c r="E40" s="4" t="s">
        <v>176</v>
      </c>
      <c r="F40" s="4" t="s">
        <v>34</v>
      </c>
      <c r="G40" s="4" t="s">
        <v>30</v>
      </c>
      <c r="H40" s="4" t="s">
        <v>41</v>
      </c>
      <c r="I40" s="4" t="s">
        <v>168</v>
      </c>
      <c r="J40" s="5">
        <v>6671</v>
      </c>
      <c r="K40" s="7">
        <f>IF(ROW()=2,IF(Tabela2[[#This Row],[Status]]="Em aberto",0,IF(Tabela2[[#This Row],[Movimentação]]="Saídas",-J40,J40)),IF(Tabela2[[#This Row],[Status]]="Em aberto",0,IF(Tabela2[[#This Row],[Movimentação]]="Saídas",-J40,J40))+K39)</f>
        <v>66926</v>
      </c>
      <c r="L40" s="8">
        <f>IF(ROW()=2,IF(Tabela2[[#This Row],[Movimentação]]="Saídas",-J40,J40),IF(Tabela2[[#This Row],[Movimentação]]="Saídas",-J40,J40)+L39)</f>
        <v>66926</v>
      </c>
    </row>
    <row r="41" spans="1:12" x14ac:dyDescent="0.35">
      <c r="A41" s="1">
        <v>43707</v>
      </c>
      <c r="B41" s="3" t="s">
        <v>15</v>
      </c>
      <c r="C41" t="s">
        <v>11</v>
      </c>
      <c r="D41" s="4" t="s">
        <v>129</v>
      </c>
      <c r="E41" s="4" t="s">
        <v>174</v>
      </c>
      <c r="F41" s="4" t="s">
        <v>34</v>
      </c>
      <c r="G41" s="4" t="s">
        <v>31</v>
      </c>
      <c r="H41" s="4" t="s">
        <v>41</v>
      </c>
      <c r="I41" s="4" t="s">
        <v>168</v>
      </c>
      <c r="J41" s="5">
        <v>6074</v>
      </c>
      <c r="K41" s="7">
        <f>IF(ROW()=2,IF(Tabela2[[#This Row],[Status]]="Em aberto",0,IF(Tabela2[[#This Row],[Movimentação]]="Saídas",-J41,J41)),IF(Tabela2[[#This Row],[Status]]="Em aberto",0,IF(Tabela2[[#This Row],[Movimentação]]="Saídas",-J41,J41))+K40)</f>
        <v>60852</v>
      </c>
      <c r="L41" s="8">
        <f>IF(ROW()=2,IF(Tabela2[[#This Row],[Movimentação]]="Saídas",-J41,J41),IF(Tabela2[[#This Row],[Movimentação]]="Saídas",-J41,J41)+L40)</f>
        <v>60852</v>
      </c>
    </row>
    <row r="42" spans="1:12" x14ac:dyDescent="0.35">
      <c r="A42" s="1">
        <v>43710</v>
      </c>
      <c r="B42" s="3" t="s">
        <v>14</v>
      </c>
      <c r="C42" t="s">
        <v>12</v>
      </c>
      <c r="D42" s="4" t="s">
        <v>95</v>
      </c>
      <c r="E42" s="4" t="s">
        <v>172</v>
      </c>
      <c r="F42" s="4" t="s">
        <v>35</v>
      </c>
      <c r="G42" s="4" t="s">
        <v>30</v>
      </c>
      <c r="H42" s="4" t="s">
        <v>41</v>
      </c>
      <c r="I42" s="4" t="s">
        <v>168</v>
      </c>
      <c r="J42" s="5">
        <v>3311</v>
      </c>
      <c r="K42" s="7">
        <f>IF(ROW()=2,IF(Tabela2[[#This Row],[Status]]="Em aberto",0,IF(Tabela2[[#This Row],[Movimentação]]="Saídas",-J42,J42)),IF(Tabela2[[#This Row],[Status]]="Em aberto",0,IF(Tabela2[[#This Row],[Movimentação]]="Saídas",-J42,J42))+K41)</f>
        <v>64163</v>
      </c>
      <c r="L42" s="8">
        <f>IF(ROW()=2,IF(Tabela2[[#This Row],[Movimentação]]="Saídas",-J42,J42),IF(Tabela2[[#This Row],[Movimentação]]="Saídas",-J42,J42)+L41)</f>
        <v>64163</v>
      </c>
    </row>
    <row r="43" spans="1:12" x14ac:dyDescent="0.35">
      <c r="A43" s="1">
        <v>43713</v>
      </c>
      <c r="B43" s="3" t="s">
        <v>15</v>
      </c>
      <c r="C43" t="s">
        <v>10</v>
      </c>
      <c r="D43" s="4" t="s">
        <v>92</v>
      </c>
      <c r="E43" s="4" t="s">
        <v>173</v>
      </c>
      <c r="F43" s="4" t="s">
        <v>34</v>
      </c>
      <c r="G43" s="4" t="s">
        <v>32</v>
      </c>
      <c r="H43" s="4" t="s">
        <v>41</v>
      </c>
      <c r="I43" s="4" t="s">
        <v>167</v>
      </c>
      <c r="J43" s="5">
        <v>4516</v>
      </c>
      <c r="K43" s="7">
        <f>IF(ROW()=2,IF(Tabela2[[#This Row],[Status]]="Em aberto",0,IF(Tabela2[[#This Row],[Movimentação]]="Saídas",-J43,J43)),IF(Tabela2[[#This Row],[Status]]="Em aberto",0,IF(Tabela2[[#This Row],[Movimentação]]="Saídas",-J43,J43))+K42)</f>
        <v>59647</v>
      </c>
      <c r="L43" s="8">
        <f>IF(ROW()=2,IF(Tabela2[[#This Row],[Movimentação]]="Saídas",-J43,J43),IF(Tabela2[[#This Row],[Movimentação]]="Saídas",-J43,J43)+L42)</f>
        <v>59647</v>
      </c>
    </row>
    <row r="44" spans="1:12" x14ac:dyDescent="0.35">
      <c r="A44" s="1">
        <v>43714</v>
      </c>
      <c r="B44" s="3" t="s">
        <v>14</v>
      </c>
      <c r="C44" t="s">
        <v>10</v>
      </c>
      <c r="D44" s="4" t="s">
        <v>107</v>
      </c>
      <c r="E44" s="4" t="s">
        <v>177</v>
      </c>
      <c r="F44" s="4" t="s">
        <v>36</v>
      </c>
      <c r="G44" s="4" t="s">
        <v>29</v>
      </c>
      <c r="H44" s="4" t="s">
        <v>41</v>
      </c>
      <c r="I44" s="4" t="s">
        <v>168</v>
      </c>
      <c r="J44" s="5">
        <v>3402</v>
      </c>
      <c r="K44" s="7">
        <f>IF(ROW()=2,IF(Tabela2[[#This Row],[Status]]="Em aberto",0,IF(Tabela2[[#This Row],[Movimentação]]="Saídas",-J44,J44)),IF(Tabela2[[#This Row],[Status]]="Em aberto",0,IF(Tabela2[[#This Row],[Movimentação]]="Saídas",-J44,J44))+K43)</f>
        <v>63049</v>
      </c>
      <c r="L44" s="8">
        <f>IF(ROW()=2,IF(Tabela2[[#This Row],[Movimentação]]="Saídas",-J44,J44),IF(Tabela2[[#This Row],[Movimentação]]="Saídas",-J44,J44)+L43)</f>
        <v>63049</v>
      </c>
    </row>
    <row r="45" spans="1:12" x14ac:dyDescent="0.35">
      <c r="A45" s="1">
        <v>43715</v>
      </c>
      <c r="B45" s="3" t="s">
        <v>14</v>
      </c>
      <c r="C45" t="s">
        <v>10</v>
      </c>
      <c r="D45" s="4" t="s">
        <v>117</v>
      </c>
      <c r="E45" s="4" t="s">
        <v>173</v>
      </c>
      <c r="F45" s="4" t="s">
        <v>36</v>
      </c>
      <c r="G45" s="4" t="s">
        <v>29</v>
      </c>
      <c r="H45" s="4" t="s">
        <v>41</v>
      </c>
      <c r="I45" s="4" t="s">
        <v>167</v>
      </c>
      <c r="J45" s="5">
        <v>3292</v>
      </c>
      <c r="K45" s="7">
        <f>IF(ROW()=2,IF(Tabela2[[#This Row],[Status]]="Em aberto",0,IF(Tabela2[[#This Row],[Movimentação]]="Saídas",-J45,J45)),IF(Tabela2[[#This Row],[Status]]="Em aberto",0,IF(Tabela2[[#This Row],[Movimentação]]="Saídas",-J45,J45))+K44)</f>
        <v>66341</v>
      </c>
      <c r="L45" s="8">
        <f>IF(ROW()=2,IF(Tabela2[[#This Row],[Movimentação]]="Saídas",-J45,J45),IF(Tabela2[[#This Row],[Movimentação]]="Saídas",-J45,J45)+L44)</f>
        <v>66341</v>
      </c>
    </row>
    <row r="46" spans="1:12" x14ac:dyDescent="0.35">
      <c r="A46" s="1">
        <v>43717</v>
      </c>
      <c r="B46" s="3" t="s">
        <v>14</v>
      </c>
      <c r="C46" t="s">
        <v>11</v>
      </c>
      <c r="D46" s="4" t="s">
        <v>50</v>
      </c>
      <c r="E46" s="4" t="s">
        <v>177</v>
      </c>
      <c r="F46" s="4" t="s">
        <v>35</v>
      </c>
      <c r="G46" s="4" t="s">
        <v>30</v>
      </c>
      <c r="H46" s="4" t="s">
        <v>41</v>
      </c>
      <c r="I46" s="4" t="s">
        <v>167</v>
      </c>
      <c r="J46" s="5">
        <v>7867</v>
      </c>
      <c r="K46" s="7">
        <f>IF(ROW()=2,IF(Tabela2[[#This Row],[Status]]="Em aberto",0,IF(Tabela2[[#This Row],[Movimentação]]="Saídas",-J46,J46)),IF(Tabela2[[#This Row],[Status]]="Em aberto",0,IF(Tabela2[[#This Row],[Movimentação]]="Saídas",-J46,J46))+K45)</f>
        <v>74208</v>
      </c>
      <c r="L46" s="8">
        <f>IF(ROW()=2,IF(Tabela2[[#This Row],[Movimentação]]="Saídas",-J46,J46),IF(Tabela2[[#This Row],[Movimentação]]="Saídas",-J46,J46)+L45)</f>
        <v>74208</v>
      </c>
    </row>
    <row r="47" spans="1:12" x14ac:dyDescent="0.35">
      <c r="A47" s="1">
        <v>43719</v>
      </c>
      <c r="B47" s="3" t="s">
        <v>15</v>
      </c>
      <c r="C47" t="s">
        <v>12</v>
      </c>
      <c r="D47" s="4" t="s">
        <v>137</v>
      </c>
      <c r="E47" s="4" t="s">
        <v>172</v>
      </c>
      <c r="F47" s="4" t="s">
        <v>36</v>
      </c>
      <c r="G47" s="4" t="s">
        <v>32</v>
      </c>
      <c r="H47" s="4" t="s">
        <v>41</v>
      </c>
      <c r="I47" s="4" t="s">
        <v>168</v>
      </c>
      <c r="J47" s="5">
        <v>3035</v>
      </c>
      <c r="K47" s="7">
        <f>IF(ROW()=2,IF(Tabela2[[#This Row],[Status]]="Em aberto",0,IF(Tabela2[[#This Row],[Movimentação]]="Saídas",-J47,J47)),IF(Tabela2[[#This Row],[Status]]="Em aberto",0,IF(Tabela2[[#This Row],[Movimentação]]="Saídas",-J47,J47))+K46)</f>
        <v>71173</v>
      </c>
      <c r="L47" s="8">
        <f>IF(ROW()=2,IF(Tabela2[[#This Row],[Movimentação]]="Saídas",-J47,J47),IF(Tabela2[[#This Row],[Movimentação]]="Saídas",-J47,J47)+L46)</f>
        <v>71173</v>
      </c>
    </row>
    <row r="48" spans="1:12" x14ac:dyDescent="0.35">
      <c r="A48" s="1">
        <v>43729</v>
      </c>
      <c r="B48" s="3" t="s">
        <v>15</v>
      </c>
      <c r="C48" t="s">
        <v>12</v>
      </c>
      <c r="D48" s="4" t="s">
        <v>45</v>
      </c>
      <c r="E48" s="4" t="s">
        <v>174</v>
      </c>
      <c r="F48" s="4" t="s">
        <v>34</v>
      </c>
      <c r="G48" s="4" t="s">
        <v>32</v>
      </c>
      <c r="H48" s="4" t="s">
        <v>41</v>
      </c>
      <c r="I48" s="4" t="s">
        <v>169</v>
      </c>
      <c r="J48" s="5">
        <v>8208</v>
      </c>
      <c r="K48" s="7">
        <f>IF(ROW()=2,IF(Tabela2[[#This Row],[Status]]="Em aberto",0,IF(Tabela2[[#This Row],[Movimentação]]="Saídas",-J48,J48)),IF(Tabela2[[#This Row],[Status]]="Em aberto",0,IF(Tabela2[[#This Row],[Movimentação]]="Saídas",-J48,J48))+K47)</f>
        <v>62965</v>
      </c>
      <c r="L48" s="8">
        <f>IF(ROW()=2,IF(Tabela2[[#This Row],[Movimentação]]="Saídas",-J48,J48),IF(Tabela2[[#This Row],[Movimentação]]="Saídas",-J48,J48)+L47)</f>
        <v>62965</v>
      </c>
    </row>
    <row r="49" spans="1:12" x14ac:dyDescent="0.35">
      <c r="A49" s="1">
        <v>43732</v>
      </c>
      <c r="B49" s="3" t="s">
        <v>15</v>
      </c>
      <c r="C49" t="s">
        <v>13</v>
      </c>
      <c r="D49" s="4" t="s">
        <v>55</v>
      </c>
      <c r="E49" s="4" t="s">
        <v>177</v>
      </c>
      <c r="F49" s="4" t="s">
        <v>34</v>
      </c>
      <c r="G49" s="4" t="s">
        <v>30</v>
      </c>
      <c r="H49" s="4" t="s">
        <v>41</v>
      </c>
      <c r="I49" s="4" t="s">
        <v>168</v>
      </c>
      <c r="J49" s="5">
        <v>5340</v>
      </c>
      <c r="K49" s="7">
        <f>IF(ROW()=2,IF(Tabela2[[#This Row],[Status]]="Em aberto",0,IF(Tabela2[[#This Row],[Movimentação]]="Saídas",-J49,J49)),IF(Tabela2[[#This Row],[Status]]="Em aberto",0,IF(Tabela2[[#This Row],[Movimentação]]="Saídas",-J49,J49))+K48)</f>
        <v>57625</v>
      </c>
      <c r="L49" s="8">
        <f>IF(ROW()=2,IF(Tabela2[[#This Row],[Movimentação]]="Saídas",-J49,J49),IF(Tabela2[[#This Row],[Movimentação]]="Saídas",-J49,J49)+L48)</f>
        <v>57625</v>
      </c>
    </row>
    <row r="50" spans="1:12" x14ac:dyDescent="0.35">
      <c r="A50" s="1">
        <v>43734</v>
      </c>
      <c r="B50" s="3" t="s">
        <v>14</v>
      </c>
      <c r="C50" t="s">
        <v>11</v>
      </c>
      <c r="D50" s="4" t="s">
        <v>126</v>
      </c>
      <c r="E50" s="4" t="s">
        <v>173</v>
      </c>
      <c r="F50" s="4" t="s">
        <v>36</v>
      </c>
      <c r="G50" s="4" t="s">
        <v>32</v>
      </c>
      <c r="H50" s="4" t="s">
        <v>41</v>
      </c>
      <c r="I50" s="4" t="s">
        <v>168</v>
      </c>
      <c r="J50" s="5">
        <v>1173</v>
      </c>
      <c r="K50" s="7">
        <f>IF(ROW()=2,IF(Tabela2[[#This Row],[Status]]="Em aberto",0,IF(Tabela2[[#This Row],[Movimentação]]="Saídas",-J50,J50)),IF(Tabela2[[#This Row],[Status]]="Em aberto",0,IF(Tabela2[[#This Row],[Movimentação]]="Saídas",-J50,J50))+K49)</f>
        <v>58798</v>
      </c>
      <c r="L50" s="8">
        <f>IF(ROW()=2,IF(Tabela2[[#This Row],[Movimentação]]="Saídas",-J50,J50),IF(Tabela2[[#This Row],[Movimentação]]="Saídas",-J50,J50)+L49)</f>
        <v>58798</v>
      </c>
    </row>
    <row r="51" spans="1:12" x14ac:dyDescent="0.35">
      <c r="A51" s="1">
        <v>43735</v>
      </c>
      <c r="B51" s="3" t="s">
        <v>14</v>
      </c>
      <c r="C51" t="s">
        <v>11</v>
      </c>
      <c r="D51" s="4" t="s">
        <v>47</v>
      </c>
      <c r="E51" s="4" t="s">
        <v>175</v>
      </c>
      <c r="F51" s="4" t="s">
        <v>36</v>
      </c>
      <c r="G51" s="4" t="s">
        <v>30</v>
      </c>
      <c r="H51" s="4" t="s">
        <v>41</v>
      </c>
      <c r="I51" s="4" t="s">
        <v>169</v>
      </c>
      <c r="J51" s="5">
        <v>7517</v>
      </c>
      <c r="K51" s="7">
        <f>IF(ROW()=2,IF(Tabela2[[#This Row],[Status]]="Em aberto",0,IF(Tabela2[[#This Row],[Movimentação]]="Saídas",-J51,J51)),IF(Tabela2[[#This Row],[Status]]="Em aberto",0,IF(Tabela2[[#This Row],[Movimentação]]="Saídas",-J51,J51))+K50)</f>
        <v>66315</v>
      </c>
      <c r="L51" s="8">
        <f>IF(ROW()=2,IF(Tabela2[[#This Row],[Movimentação]]="Saídas",-J51,J51),IF(Tabela2[[#This Row],[Movimentação]]="Saídas",-J51,J51)+L50)</f>
        <v>66315</v>
      </c>
    </row>
    <row r="52" spans="1:12" x14ac:dyDescent="0.35">
      <c r="A52" s="1">
        <v>43735</v>
      </c>
      <c r="B52" s="3" t="s">
        <v>14</v>
      </c>
      <c r="C52" t="s">
        <v>10</v>
      </c>
      <c r="D52" s="4" t="s">
        <v>69</v>
      </c>
      <c r="E52" s="4" t="s">
        <v>171</v>
      </c>
      <c r="F52" s="4" t="s">
        <v>35</v>
      </c>
      <c r="G52" s="4" t="s">
        <v>31</v>
      </c>
      <c r="H52" s="4" t="s">
        <v>41</v>
      </c>
      <c r="I52" s="4" t="s">
        <v>167</v>
      </c>
      <c r="J52" s="5">
        <v>7566</v>
      </c>
      <c r="K52" s="7">
        <f>IF(ROW()=2,IF(Tabela2[[#This Row],[Status]]="Em aberto",0,IF(Tabela2[[#This Row],[Movimentação]]="Saídas",-J52,J52)),IF(Tabela2[[#This Row],[Status]]="Em aberto",0,IF(Tabela2[[#This Row],[Movimentação]]="Saídas",-J52,J52))+K51)</f>
        <v>73881</v>
      </c>
      <c r="L52" s="8">
        <f>IF(ROW()=2,IF(Tabela2[[#This Row],[Movimentação]]="Saídas",-J52,J52),IF(Tabela2[[#This Row],[Movimentação]]="Saídas",-J52,J52)+L51)</f>
        <v>73881</v>
      </c>
    </row>
    <row r="53" spans="1:12" x14ac:dyDescent="0.35">
      <c r="A53" s="1">
        <v>43739</v>
      </c>
      <c r="B53" s="3" t="s">
        <v>15</v>
      </c>
      <c r="C53" t="s">
        <v>12</v>
      </c>
      <c r="D53" s="4" t="s">
        <v>114</v>
      </c>
      <c r="E53" s="4" t="s">
        <v>173</v>
      </c>
      <c r="F53" s="4" t="s">
        <v>35</v>
      </c>
      <c r="G53" s="4" t="s">
        <v>32</v>
      </c>
      <c r="H53" s="4" t="s">
        <v>41</v>
      </c>
      <c r="I53" s="4" t="s">
        <v>167</v>
      </c>
      <c r="J53" s="5">
        <v>6391</v>
      </c>
      <c r="K53" s="7">
        <f>IF(ROW()=2,IF(Tabela2[[#This Row],[Status]]="Em aberto",0,IF(Tabela2[[#This Row],[Movimentação]]="Saídas",-J53,J53)),IF(Tabela2[[#This Row],[Status]]="Em aberto",0,IF(Tabela2[[#This Row],[Movimentação]]="Saídas",-J53,J53))+K52)</f>
        <v>67490</v>
      </c>
      <c r="L53" s="8">
        <f>IF(ROW()=2,IF(Tabela2[[#This Row],[Movimentação]]="Saídas",-J53,J53),IF(Tabela2[[#This Row],[Movimentação]]="Saídas",-J53,J53)+L52)</f>
        <v>67490</v>
      </c>
    </row>
    <row r="54" spans="1:12" x14ac:dyDescent="0.35">
      <c r="A54" s="1">
        <v>43743</v>
      </c>
      <c r="B54" s="3" t="s">
        <v>14</v>
      </c>
      <c r="C54" t="s">
        <v>12</v>
      </c>
      <c r="D54" s="4" t="s">
        <v>54</v>
      </c>
      <c r="E54" s="4" t="s">
        <v>172</v>
      </c>
      <c r="F54" s="4" t="s">
        <v>35</v>
      </c>
      <c r="G54" s="4" t="s">
        <v>33</v>
      </c>
      <c r="H54" s="4" t="s">
        <v>41</v>
      </c>
      <c r="I54" s="4" t="s">
        <v>168</v>
      </c>
      <c r="J54" s="5">
        <v>8058</v>
      </c>
      <c r="K54" s="7">
        <f>IF(ROW()=2,IF(Tabela2[[#This Row],[Status]]="Em aberto",0,IF(Tabela2[[#This Row],[Movimentação]]="Saídas",-J54,J54)),IF(Tabela2[[#This Row],[Status]]="Em aberto",0,IF(Tabela2[[#This Row],[Movimentação]]="Saídas",-J54,J54))+K53)</f>
        <v>75548</v>
      </c>
      <c r="L54" s="8">
        <f>IF(ROW()=2,IF(Tabela2[[#This Row],[Movimentação]]="Saídas",-J54,J54),IF(Tabela2[[#This Row],[Movimentação]]="Saídas",-J54,J54)+L53)</f>
        <v>75548</v>
      </c>
    </row>
    <row r="55" spans="1:12" x14ac:dyDescent="0.35">
      <c r="A55" s="1">
        <v>43746</v>
      </c>
      <c r="B55" s="3" t="s">
        <v>15</v>
      </c>
      <c r="C55" t="s">
        <v>13</v>
      </c>
      <c r="D55" s="4" t="s">
        <v>40</v>
      </c>
      <c r="E55" s="4" t="s">
        <v>171</v>
      </c>
      <c r="F55" s="4" t="s">
        <v>34</v>
      </c>
      <c r="G55" s="4" t="s">
        <v>29</v>
      </c>
      <c r="H55" s="4" t="s">
        <v>41</v>
      </c>
      <c r="I55" s="4" t="s">
        <v>168</v>
      </c>
      <c r="J55" s="5">
        <v>6717</v>
      </c>
      <c r="K55" s="5">
        <f>IF(ROW()=2,IF(Tabela2[[#This Row],[Status]]="Em aberto",0,IF(Tabela2[[#This Row],[Movimentação]]="Saídas",-J55,J55)),IF(Tabela2[[#This Row],[Status]]="Em aberto",0,IF(Tabela2[[#This Row],[Movimentação]]="Saídas",-J55,J55))+K54)</f>
        <v>68831</v>
      </c>
      <c r="L55" s="5">
        <f>IF(ROW()=2,IF(Tabela2[[#This Row],[Movimentação]]="Saídas",-J55,J55),IF(Tabela2[[#This Row],[Movimentação]]="Saídas",-J55,J55)+L54)</f>
        <v>68831</v>
      </c>
    </row>
    <row r="56" spans="1:12" x14ac:dyDescent="0.35">
      <c r="A56" s="1">
        <v>43753</v>
      </c>
      <c r="B56" s="3" t="s">
        <v>14</v>
      </c>
      <c r="C56" t="s">
        <v>12</v>
      </c>
      <c r="D56" s="4" t="s">
        <v>63</v>
      </c>
      <c r="E56" s="4" t="s">
        <v>171</v>
      </c>
      <c r="F56" s="4" t="s">
        <v>36</v>
      </c>
      <c r="G56" s="4" t="s">
        <v>29</v>
      </c>
      <c r="H56" s="4" t="s">
        <v>41</v>
      </c>
      <c r="I56" s="4" t="s">
        <v>169</v>
      </c>
      <c r="J56" s="5">
        <v>922</v>
      </c>
      <c r="K56" s="7">
        <f>IF(ROW()=2,IF(Tabela2[[#This Row],[Status]]="Em aberto",0,IF(Tabela2[[#This Row],[Movimentação]]="Saídas",-J56,J56)),IF(Tabela2[[#This Row],[Status]]="Em aberto",0,IF(Tabela2[[#This Row],[Movimentação]]="Saídas",-J56,J56))+K55)</f>
        <v>69753</v>
      </c>
      <c r="L56" s="8">
        <f>IF(ROW()=2,IF(Tabela2[[#This Row],[Movimentação]]="Saídas",-J56,J56),IF(Tabela2[[#This Row],[Movimentação]]="Saídas",-J56,J56)+L55)</f>
        <v>69753</v>
      </c>
    </row>
    <row r="57" spans="1:12" x14ac:dyDescent="0.35">
      <c r="A57" s="1">
        <v>43753</v>
      </c>
      <c r="B57" s="3" t="s">
        <v>14</v>
      </c>
      <c r="C57" t="s">
        <v>11</v>
      </c>
      <c r="D57" s="4" t="s">
        <v>131</v>
      </c>
      <c r="E57" s="4" t="s">
        <v>172</v>
      </c>
      <c r="F57" s="4" t="s">
        <v>34</v>
      </c>
      <c r="G57" s="4" t="s">
        <v>32</v>
      </c>
      <c r="H57" s="4" t="s">
        <v>41</v>
      </c>
      <c r="I57" s="4" t="s">
        <v>167</v>
      </c>
      <c r="J57" s="5">
        <v>7373</v>
      </c>
      <c r="K57" s="7">
        <f>IF(ROW()=2,IF(Tabela2[[#This Row],[Status]]="Em aberto",0,IF(Tabela2[[#This Row],[Movimentação]]="Saídas",-J57,J57)),IF(Tabela2[[#This Row],[Status]]="Em aberto",0,IF(Tabela2[[#This Row],[Movimentação]]="Saídas",-J57,J57))+K56)</f>
        <v>77126</v>
      </c>
      <c r="L57" s="8">
        <f>IF(ROW()=2,IF(Tabela2[[#This Row],[Movimentação]]="Saídas",-J57,J57),IF(Tabela2[[#This Row],[Movimentação]]="Saídas",-J57,J57)+L56)</f>
        <v>77126</v>
      </c>
    </row>
    <row r="58" spans="1:12" x14ac:dyDescent="0.35">
      <c r="A58" s="1">
        <v>43768</v>
      </c>
      <c r="B58" s="3" t="s">
        <v>14</v>
      </c>
      <c r="C58" t="s">
        <v>18</v>
      </c>
      <c r="D58" s="4" t="s">
        <v>73</v>
      </c>
      <c r="E58" s="4" t="s">
        <v>172</v>
      </c>
      <c r="F58" s="4" t="s">
        <v>35</v>
      </c>
      <c r="G58" s="4" t="s">
        <v>33</v>
      </c>
      <c r="H58" s="4" t="s">
        <v>41</v>
      </c>
      <c r="I58" s="4" t="s">
        <v>167</v>
      </c>
      <c r="J58" s="5">
        <v>4397</v>
      </c>
      <c r="K58" s="7">
        <f>IF(ROW()=2,IF(Tabela2[[#This Row],[Status]]="Em aberto",0,IF(Tabela2[[#This Row],[Movimentação]]="Saídas",-J58,J58)),IF(Tabela2[[#This Row],[Status]]="Em aberto",0,IF(Tabela2[[#This Row],[Movimentação]]="Saídas",-J58,J58))+K57)</f>
        <v>81523</v>
      </c>
      <c r="L58" s="8">
        <f>IF(ROW()=2,IF(Tabela2[[#This Row],[Movimentação]]="Saídas",-J58,J58),IF(Tabela2[[#This Row],[Movimentação]]="Saídas",-J58,J58)+L57)</f>
        <v>81523</v>
      </c>
    </row>
    <row r="59" spans="1:12" x14ac:dyDescent="0.35">
      <c r="A59" s="1">
        <v>43770</v>
      </c>
      <c r="B59" s="3" t="s">
        <v>14</v>
      </c>
      <c r="C59" t="s">
        <v>11</v>
      </c>
      <c r="D59" s="4" t="s">
        <v>93</v>
      </c>
      <c r="E59" s="4" t="s">
        <v>174</v>
      </c>
      <c r="F59" s="4" t="s">
        <v>35</v>
      </c>
      <c r="G59" s="4" t="s">
        <v>32</v>
      </c>
      <c r="H59" s="4" t="s">
        <v>41</v>
      </c>
      <c r="I59" s="4" t="s">
        <v>169</v>
      </c>
      <c r="J59" s="5">
        <v>9094</v>
      </c>
      <c r="K59" s="7">
        <f>IF(ROW()=2,IF(Tabela2[[#This Row],[Status]]="Em aberto",0,IF(Tabela2[[#This Row],[Movimentação]]="Saídas",-J59,J59)),IF(Tabela2[[#This Row],[Status]]="Em aberto",0,IF(Tabela2[[#This Row],[Movimentação]]="Saídas",-J59,J59))+K58)</f>
        <v>90617</v>
      </c>
      <c r="L59" s="8">
        <f>IF(ROW()=2,IF(Tabela2[[#This Row],[Movimentação]]="Saídas",-J59,J59),IF(Tabela2[[#This Row],[Movimentação]]="Saídas",-J59,J59)+L58)</f>
        <v>90617</v>
      </c>
    </row>
    <row r="60" spans="1:12" x14ac:dyDescent="0.35">
      <c r="A60" s="1">
        <v>43783</v>
      </c>
      <c r="B60" s="3" t="s">
        <v>14</v>
      </c>
      <c r="C60" t="s">
        <v>11</v>
      </c>
      <c r="D60" s="4" t="s">
        <v>111</v>
      </c>
      <c r="E60" s="4" t="s">
        <v>175</v>
      </c>
      <c r="F60" s="4" t="s">
        <v>34</v>
      </c>
      <c r="G60" s="4" t="s">
        <v>31</v>
      </c>
      <c r="H60" s="4" t="s">
        <v>41</v>
      </c>
      <c r="I60" s="4" t="s">
        <v>167</v>
      </c>
      <c r="J60" s="5">
        <v>4918</v>
      </c>
      <c r="K60" s="7">
        <f>IF(ROW()=2,IF(Tabela2[[#This Row],[Status]]="Em aberto",0,IF(Tabela2[[#This Row],[Movimentação]]="Saídas",-J60,J60)),IF(Tabela2[[#This Row],[Status]]="Em aberto",0,IF(Tabela2[[#This Row],[Movimentação]]="Saídas",-J60,J60))+K59)</f>
        <v>95535</v>
      </c>
      <c r="L60" s="8">
        <f>IF(ROW()=2,IF(Tabela2[[#This Row],[Movimentação]]="Saídas",-J60,J60),IF(Tabela2[[#This Row],[Movimentação]]="Saídas",-J60,J60)+L59)</f>
        <v>95535</v>
      </c>
    </row>
    <row r="61" spans="1:12" x14ac:dyDescent="0.35">
      <c r="A61" s="1">
        <v>43793</v>
      </c>
      <c r="B61" s="3" t="s">
        <v>14</v>
      </c>
      <c r="C61" t="s">
        <v>18</v>
      </c>
      <c r="D61" s="4" t="s">
        <v>96</v>
      </c>
      <c r="E61" s="4" t="s">
        <v>175</v>
      </c>
      <c r="F61" s="4" t="s">
        <v>34</v>
      </c>
      <c r="G61" s="4" t="s">
        <v>30</v>
      </c>
      <c r="H61" s="4" t="s">
        <v>41</v>
      </c>
      <c r="I61" s="4" t="s">
        <v>168</v>
      </c>
      <c r="J61" s="5">
        <v>7914</v>
      </c>
      <c r="K61" s="7">
        <f>IF(ROW()=2,IF(Tabela2[[#This Row],[Status]]="Em aberto",0,IF(Tabela2[[#This Row],[Movimentação]]="Saídas",-J61,J61)),IF(Tabela2[[#This Row],[Status]]="Em aberto",0,IF(Tabela2[[#This Row],[Movimentação]]="Saídas",-J61,J61))+K60)</f>
        <v>103449</v>
      </c>
      <c r="L61" s="8">
        <f>IF(ROW()=2,IF(Tabela2[[#This Row],[Movimentação]]="Saídas",-J61,J61),IF(Tabela2[[#This Row],[Movimentação]]="Saídas",-J61,J61)+L60)</f>
        <v>103449</v>
      </c>
    </row>
    <row r="62" spans="1:12" x14ac:dyDescent="0.35">
      <c r="A62" s="1">
        <v>43798</v>
      </c>
      <c r="B62" s="3" t="s">
        <v>15</v>
      </c>
      <c r="C62" t="s">
        <v>12</v>
      </c>
      <c r="D62" s="4" t="s">
        <v>104</v>
      </c>
      <c r="E62" s="4" t="s">
        <v>176</v>
      </c>
      <c r="F62" s="4" t="s">
        <v>34</v>
      </c>
      <c r="G62" s="4" t="s">
        <v>31</v>
      </c>
      <c r="H62" s="4" t="s">
        <v>41</v>
      </c>
      <c r="I62" s="4" t="s">
        <v>169</v>
      </c>
      <c r="J62" s="5">
        <v>6941</v>
      </c>
      <c r="K62" s="7">
        <f>IF(ROW()=2,IF(Tabela2[[#This Row],[Status]]="Em aberto",0,IF(Tabela2[[#This Row],[Movimentação]]="Saídas",-J62,J62)),IF(Tabela2[[#This Row],[Status]]="Em aberto",0,IF(Tabela2[[#This Row],[Movimentação]]="Saídas",-J62,J62))+K61)</f>
        <v>96508</v>
      </c>
      <c r="L62" s="8">
        <f>IF(ROW()=2,IF(Tabela2[[#This Row],[Movimentação]]="Saídas",-J62,J62),IF(Tabela2[[#This Row],[Movimentação]]="Saídas",-J62,J62)+L61)</f>
        <v>96508</v>
      </c>
    </row>
    <row r="63" spans="1:12" x14ac:dyDescent="0.35">
      <c r="A63" s="1">
        <v>43803</v>
      </c>
      <c r="B63" s="3" t="s">
        <v>14</v>
      </c>
      <c r="C63" t="s">
        <v>13</v>
      </c>
      <c r="D63" s="4" t="s">
        <v>102</v>
      </c>
      <c r="E63" s="4" t="s">
        <v>171</v>
      </c>
      <c r="F63" s="4" t="s">
        <v>36</v>
      </c>
      <c r="G63" s="4" t="s">
        <v>32</v>
      </c>
      <c r="H63" s="4" t="s">
        <v>41</v>
      </c>
      <c r="I63" s="4" t="s">
        <v>169</v>
      </c>
      <c r="J63" s="5">
        <v>9827</v>
      </c>
      <c r="K63" s="7">
        <f>IF(ROW()=2,IF(Tabela2[[#This Row],[Status]]="Em aberto",0,IF(Tabela2[[#This Row],[Movimentação]]="Saídas",-J63,J63)),IF(Tabela2[[#This Row],[Status]]="Em aberto",0,IF(Tabela2[[#This Row],[Movimentação]]="Saídas",-J63,J63))+K62)</f>
        <v>106335</v>
      </c>
      <c r="L63" s="8">
        <f>IF(ROW()=2,IF(Tabela2[[#This Row],[Movimentação]]="Saídas",-J63,J63),IF(Tabela2[[#This Row],[Movimentação]]="Saídas",-J63,J63)+L62)</f>
        <v>106335</v>
      </c>
    </row>
    <row r="64" spans="1:12" x14ac:dyDescent="0.35">
      <c r="A64" s="1">
        <v>43806</v>
      </c>
      <c r="B64" s="3" t="s">
        <v>15</v>
      </c>
      <c r="C64" t="s">
        <v>25</v>
      </c>
      <c r="D64" s="4" t="s">
        <v>123</v>
      </c>
      <c r="E64" s="4" t="s">
        <v>177</v>
      </c>
      <c r="F64" s="4" t="s">
        <v>34</v>
      </c>
      <c r="G64" s="4" t="s">
        <v>33</v>
      </c>
      <c r="H64" s="4" t="s">
        <v>41</v>
      </c>
      <c r="I64" s="4" t="s">
        <v>169</v>
      </c>
      <c r="J64" s="5">
        <v>3374</v>
      </c>
      <c r="K64" s="7">
        <f>IF(ROW()=2,IF(Tabela2[[#This Row],[Status]]="Em aberto",0,IF(Tabela2[[#This Row],[Movimentação]]="Saídas",-J64,J64)),IF(Tabela2[[#This Row],[Status]]="Em aberto",0,IF(Tabela2[[#This Row],[Movimentação]]="Saídas",-J64,J64))+K63)</f>
        <v>102961</v>
      </c>
      <c r="L64" s="8">
        <f>IF(ROW()=2,IF(Tabela2[[#This Row],[Movimentação]]="Saídas",-J64,J64),IF(Tabela2[[#This Row],[Movimentação]]="Saídas",-J64,J64)+L63)</f>
        <v>102961</v>
      </c>
    </row>
    <row r="65" spans="1:12" x14ac:dyDescent="0.35">
      <c r="A65" s="1">
        <v>43808</v>
      </c>
      <c r="B65" s="3" t="s">
        <v>15</v>
      </c>
      <c r="C65" t="s">
        <v>10</v>
      </c>
      <c r="D65" s="4" t="s">
        <v>141</v>
      </c>
      <c r="E65" s="4" t="s">
        <v>174</v>
      </c>
      <c r="F65" s="4" t="s">
        <v>34</v>
      </c>
      <c r="G65" s="4" t="s">
        <v>30</v>
      </c>
      <c r="H65" s="4" t="s">
        <v>41</v>
      </c>
      <c r="I65" s="4" t="s">
        <v>167</v>
      </c>
      <c r="J65" s="5">
        <v>290</v>
      </c>
      <c r="K65" s="7">
        <f>IF(ROW()=2,IF(Tabela2[[#This Row],[Status]]="Em aberto",0,IF(Tabela2[[#This Row],[Movimentação]]="Saídas",-J65,J65)),IF(Tabela2[[#This Row],[Status]]="Em aberto",0,IF(Tabela2[[#This Row],[Movimentação]]="Saídas",-J65,J65))+K64)</f>
        <v>102671</v>
      </c>
      <c r="L65" s="8">
        <f>IF(ROW()=2,IF(Tabela2[[#This Row],[Movimentação]]="Saídas",-J65,J65),IF(Tabela2[[#This Row],[Movimentação]]="Saídas",-J65,J65)+L64)</f>
        <v>102671</v>
      </c>
    </row>
    <row r="66" spans="1:12" x14ac:dyDescent="0.35">
      <c r="A66" s="1">
        <v>43810</v>
      </c>
      <c r="B66" s="3" t="s">
        <v>15</v>
      </c>
      <c r="C66" t="s">
        <v>13</v>
      </c>
      <c r="D66" s="4" t="s">
        <v>118</v>
      </c>
      <c r="E66" s="4" t="s">
        <v>172</v>
      </c>
      <c r="F66" s="4" t="s">
        <v>36</v>
      </c>
      <c r="G66" s="4" t="s">
        <v>30</v>
      </c>
      <c r="H66" s="4" t="s">
        <v>41</v>
      </c>
      <c r="I66" s="4" t="s">
        <v>168</v>
      </c>
      <c r="J66" s="5">
        <v>9186</v>
      </c>
      <c r="K66" s="7">
        <f>IF(ROW()=2,IF(Tabela2[[#This Row],[Status]]="Em aberto",0,IF(Tabela2[[#This Row],[Movimentação]]="Saídas",-J66,J66)),IF(Tabela2[[#This Row],[Status]]="Em aberto",0,IF(Tabela2[[#This Row],[Movimentação]]="Saídas",-J66,J66))+K65)</f>
        <v>93485</v>
      </c>
      <c r="L66" s="8">
        <f>IF(ROW()=2,IF(Tabela2[[#This Row],[Movimentação]]="Saídas",-J66,J66),IF(Tabela2[[#This Row],[Movimentação]]="Saídas",-J66,J66)+L65)</f>
        <v>93485</v>
      </c>
    </row>
    <row r="67" spans="1:12" x14ac:dyDescent="0.35">
      <c r="A67" s="1">
        <v>43816</v>
      </c>
      <c r="B67" s="3" t="s">
        <v>15</v>
      </c>
      <c r="C67" t="s">
        <v>23</v>
      </c>
      <c r="D67" s="4" t="s">
        <v>67</v>
      </c>
      <c r="E67" s="4" t="s">
        <v>173</v>
      </c>
      <c r="F67" s="4" t="s">
        <v>36</v>
      </c>
      <c r="G67" s="4" t="s">
        <v>30</v>
      </c>
      <c r="H67" s="4" t="s">
        <v>41</v>
      </c>
      <c r="I67" s="4" t="s">
        <v>169</v>
      </c>
      <c r="J67" s="5">
        <v>4254</v>
      </c>
      <c r="K67" s="7">
        <f>IF(ROW()=2,IF(Tabela2[[#This Row],[Status]]="Em aberto",0,IF(Tabela2[[#This Row],[Movimentação]]="Saídas",-J67,J67)),IF(Tabela2[[#This Row],[Status]]="Em aberto",0,IF(Tabela2[[#This Row],[Movimentação]]="Saídas",-J67,J67))+K66)</f>
        <v>89231</v>
      </c>
      <c r="L67" s="8">
        <f>IF(ROW()=2,IF(Tabela2[[#This Row],[Movimentação]]="Saídas",-J67,J67),IF(Tabela2[[#This Row],[Movimentação]]="Saídas",-J67,J67)+L66)</f>
        <v>89231</v>
      </c>
    </row>
    <row r="68" spans="1:12" x14ac:dyDescent="0.35">
      <c r="A68" s="1">
        <v>43824</v>
      </c>
      <c r="B68" s="3" t="s">
        <v>14</v>
      </c>
      <c r="C68" t="s">
        <v>13</v>
      </c>
      <c r="D68" s="4" t="s">
        <v>130</v>
      </c>
      <c r="E68" s="4" t="s">
        <v>174</v>
      </c>
      <c r="F68" s="4" t="s">
        <v>36</v>
      </c>
      <c r="G68" s="4" t="s">
        <v>30</v>
      </c>
      <c r="H68" s="4" t="s">
        <v>41</v>
      </c>
      <c r="I68" s="4" t="s">
        <v>169</v>
      </c>
      <c r="J68" s="5">
        <v>8889</v>
      </c>
      <c r="K68" s="7">
        <f>IF(ROW()=2,IF(Tabela2[[#This Row],[Status]]="Em aberto",0,IF(Tabela2[[#This Row],[Movimentação]]="Saídas",-J68,J68)),IF(Tabela2[[#This Row],[Status]]="Em aberto",0,IF(Tabela2[[#This Row],[Movimentação]]="Saídas",-J68,J68))+K67)</f>
        <v>98120</v>
      </c>
      <c r="L68" s="8">
        <f>IF(ROW()=2,IF(Tabela2[[#This Row],[Movimentação]]="Saídas",-J68,J68),IF(Tabela2[[#This Row],[Movimentação]]="Saídas",-J68,J68)+L67)</f>
        <v>98120</v>
      </c>
    </row>
    <row r="69" spans="1:12" x14ac:dyDescent="0.35">
      <c r="A69" s="1">
        <v>43829</v>
      </c>
      <c r="B69" s="3" t="s">
        <v>14</v>
      </c>
      <c r="C69" t="s">
        <v>20</v>
      </c>
      <c r="D69" s="4" t="s">
        <v>103</v>
      </c>
      <c r="E69" s="4" t="s">
        <v>173</v>
      </c>
      <c r="F69" s="4" t="s">
        <v>35</v>
      </c>
      <c r="G69" s="4" t="s">
        <v>32</v>
      </c>
      <c r="H69" s="4" t="s">
        <v>41</v>
      </c>
      <c r="I69" s="4" t="s">
        <v>169</v>
      </c>
      <c r="J69" s="5">
        <v>6865</v>
      </c>
      <c r="K69" s="7">
        <f>IF(ROW()=2,IF(Tabela2[[#This Row],[Status]]="Em aberto",0,IF(Tabela2[[#This Row],[Movimentação]]="Saídas",-J69,J69)),IF(Tabela2[[#This Row],[Status]]="Em aberto",0,IF(Tabela2[[#This Row],[Movimentação]]="Saídas",-J69,J69))+K68)</f>
        <v>104985</v>
      </c>
      <c r="L69" s="8">
        <f>IF(ROW()=2,IF(Tabela2[[#This Row],[Movimentação]]="Saídas",-J69,J69),IF(Tabela2[[#This Row],[Movimentação]]="Saídas",-J69,J69)+L68)</f>
        <v>104985</v>
      </c>
    </row>
    <row r="70" spans="1:12" x14ac:dyDescent="0.35">
      <c r="A70" s="1">
        <v>43832</v>
      </c>
      <c r="B70" s="3" t="s">
        <v>14</v>
      </c>
      <c r="C70" t="s">
        <v>12</v>
      </c>
      <c r="D70" s="4" t="s">
        <v>99</v>
      </c>
      <c r="E70" s="4" t="s">
        <v>171</v>
      </c>
      <c r="F70" s="4" t="s">
        <v>36</v>
      </c>
      <c r="G70" s="4" t="s">
        <v>30</v>
      </c>
      <c r="H70" s="4" t="s">
        <v>41</v>
      </c>
      <c r="I70" s="4" t="s">
        <v>169</v>
      </c>
      <c r="J70" s="5">
        <v>6572</v>
      </c>
      <c r="K70" s="7">
        <f>IF(ROW()=2,IF(Tabela2[[#This Row],[Status]]="Em aberto",0,IF(Tabela2[[#This Row],[Movimentação]]="Saídas",-J70,J70)),IF(Tabela2[[#This Row],[Status]]="Em aberto",0,IF(Tabela2[[#This Row],[Movimentação]]="Saídas",-J70,J70))+K69)</f>
        <v>111557</v>
      </c>
      <c r="L70" s="8">
        <f>IF(ROW()=2,IF(Tabela2[[#This Row],[Movimentação]]="Saídas",-J70,J70),IF(Tabela2[[#This Row],[Movimentação]]="Saídas",-J70,J70)+L69)</f>
        <v>111557</v>
      </c>
    </row>
    <row r="71" spans="1:12" x14ac:dyDescent="0.35">
      <c r="A71" s="1">
        <v>43835</v>
      </c>
      <c r="B71" s="3" t="s">
        <v>14</v>
      </c>
      <c r="C71" t="s">
        <v>10</v>
      </c>
      <c r="D71" s="4" t="s">
        <v>135</v>
      </c>
      <c r="E71" s="4" t="s">
        <v>177</v>
      </c>
      <c r="F71" s="4" t="s">
        <v>35</v>
      </c>
      <c r="G71" s="4" t="s">
        <v>33</v>
      </c>
      <c r="H71" s="4" t="s">
        <v>41</v>
      </c>
      <c r="I71" s="4" t="s">
        <v>167</v>
      </c>
      <c r="J71" s="5">
        <v>4640</v>
      </c>
      <c r="K71" s="7">
        <f>IF(ROW()=2,IF(Tabela2[[#This Row],[Status]]="Em aberto",0,IF(Tabela2[[#This Row],[Movimentação]]="Saídas",-J71,J71)),IF(Tabela2[[#This Row],[Status]]="Em aberto",0,IF(Tabela2[[#This Row],[Movimentação]]="Saídas",-J71,J71))+K70)</f>
        <v>116197</v>
      </c>
      <c r="L71" s="8">
        <f>IF(ROW()=2,IF(Tabela2[[#This Row],[Movimentação]]="Saídas",-J71,J71),IF(Tabela2[[#This Row],[Movimentação]]="Saídas",-J71,J71)+L70)</f>
        <v>116197</v>
      </c>
    </row>
    <row r="72" spans="1:12" x14ac:dyDescent="0.35">
      <c r="A72" s="1">
        <v>43836</v>
      </c>
      <c r="B72" s="3" t="s">
        <v>15</v>
      </c>
      <c r="C72" t="s">
        <v>26</v>
      </c>
      <c r="D72" s="4" t="s">
        <v>80</v>
      </c>
      <c r="E72" s="4" t="s">
        <v>172</v>
      </c>
      <c r="F72" s="4" t="s">
        <v>36</v>
      </c>
      <c r="G72" s="4" t="s">
        <v>29</v>
      </c>
      <c r="H72" s="4" t="s">
        <v>41</v>
      </c>
      <c r="I72" s="4" t="s">
        <v>167</v>
      </c>
      <c r="J72" s="5">
        <v>2673</v>
      </c>
      <c r="K72" s="7">
        <f>IF(ROW()=2,IF(Tabela2[[#This Row],[Status]]="Em aberto",0,IF(Tabela2[[#This Row],[Movimentação]]="Saídas",-J72,J72)),IF(Tabela2[[#This Row],[Status]]="Em aberto",0,IF(Tabela2[[#This Row],[Movimentação]]="Saídas",-J72,J72))+K71)</f>
        <v>113524</v>
      </c>
      <c r="L72" s="8">
        <f>IF(ROW()=2,IF(Tabela2[[#This Row],[Movimentação]]="Saídas",-J72,J72),IF(Tabela2[[#This Row],[Movimentação]]="Saídas",-J72,J72)+L71)</f>
        <v>113524</v>
      </c>
    </row>
    <row r="73" spans="1:12" x14ac:dyDescent="0.35">
      <c r="A73" s="1">
        <v>43849</v>
      </c>
      <c r="B73" s="3" t="s">
        <v>15</v>
      </c>
      <c r="C73" t="s">
        <v>24</v>
      </c>
      <c r="D73" s="4" t="s">
        <v>106</v>
      </c>
      <c r="E73" s="4" t="s">
        <v>171</v>
      </c>
      <c r="F73" s="4" t="s">
        <v>34</v>
      </c>
      <c r="G73" s="4" t="s">
        <v>29</v>
      </c>
      <c r="H73" s="4" t="s">
        <v>41</v>
      </c>
      <c r="I73" s="4" t="s">
        <v>168</v>
      </c>
      <c r="J73" s="5">
        <v>5716</v>
      </c>
      <c r="K73" s="7">
        <f>IF(ROW()=2,IF(Tabela2[[#This Row],[Status]]="Em aberto",0,IF(Tabela2[[#This Row],[Movimentação]]="Saídas",-J73,J73)),IF(Tabela2[[#This Row],[Status]]="Em aberto",0,IF(Tabela2[[#This Row],[Movimentação]]="Saídas",-J73,J73))+K72)</f>
        <v>107808</v>
      </c>
      <c r="L73" s="8">
        <f>IF(ROW()=2,IF(Tabela2[[#This Row],[Movimentação]]="Saídas",-J73,J73),IF(Tabela2[[#This Row],[Movimentação]]="Saídas",-J73,J73)+L72)</f>
        <v>107808</v>
      </c>
    </row>
    <row r="74" spans="1:12" x14ac:dyDescent="0.35">
      <c r="A74" s="1">
        <v>43853</v>
      </c>
      <c r="B74" s="3" t="s">
        <v>15</v>
      </c>
      <c r="C74" t="s">
        <v>12</v>
      </c>
      <c r="D74" s="4" t="s">
        <v>97</v>
      </c>
      <c r="E74" s="4" t="s">
        <v>177</v>
      </c>
      <c r="F74" s="4" t="s">
        <v>36</v>
      </c>
      <c r="G74" s="4" t="s">
        <v>29</v>
      </c>
      <c r="H74" s="4" t="s">
        <v>41</v>
      </c>
      <c r="I74" s="4" t="s">
        <v>168</v>
      </c>
      <c r="J74" s="5">
        <v>9940</v>
      </c>
      <c r="K74" s="7">
        <f>IF(ROW()=2,IF(Tabela2[[#This Row],[Status]]="Em aberto",0,IF(Tabela2[[#This Row],[Movimentação]]="Saídas",-J74,J74)),IF(Tabela2[[#This Row],[Status]]="Em aberto",0,IF(Tabela2[[#This Row],[Movimentação]]="Saídas",-J74,J74))+K73)</f>
        <v>97868</v>
      </c>
      <c r="L74" s="8">
        <f>IF(ROW()=2,IF(Tabela2[[#This Row],[Movimentação]]="Saídas",-J74,J74),IF(Tabela2[[#This Row],[Movimentação]]="Saídas",-J74,J74)+L73)</f>
        <v>97868</v>
      </c>
    </row>
    <row r="75" spans="1:12" x14ac:dyDescent="0.35">
      <c r="A75" s="1">
        <v>43868</v>
      </c>
      <c r="B75" s="3" t="s">
        <v>14</v>
      </c>
      <c r="C75" t="s">
        <v>12</v>
      </c>
      <c r="D75" s="4" t="s">
        <v>48</v>
      </c>
      <c r="E75" s="4" t="s">
        <v>171</v>
      </c>
      <c r="F75" s="4" t="s">
        <v>34</v>
      </c>
      <c r="G75" s="4" t="s">
        <v>31</v>
      </c>
      <c r="H75" s="4" t="s">
        <v>41</v>
      </c>
      <c r="I75" s="4" t="s">
        <v>169</v>
      </c>
      <c r="J75" s="5">
        <v>7344</v>
      </c>
      <c r="K75" s="7">
        <f>IF(ROW()=2,IF(Tabela2[[#This Row],[Status]]="Em aberto",0,IF(Tabela2[[#This Row],[Movimentação]]="Saídas",-J75,J75)),IF(Tabela2[[#This Row],[Status]]="Em aberto",0,IF(Tabela2[[#This Row],[Movimentação]]="Saídas",-J75,J75))+K74)</f>
        <v>105212</v>
      </c>
      <c r="L75" s="8">
        <f>IF(ROW()=2,IF(Tabela2[[#This Row],[Movimentação]]="Saídas",-J75,J75),IF(Tabela2[[#This Row],[Movimentação]]="Saídas",-J75,J75)+L74)</f>
        <v>105212</v>
      </c>
    </row>
    <row r="76" spans="1:12" x14ac:dyDescent="0.35">
      <c r="A76" s="1">
        <v>43874</v>
      </c>
      <c r="B76" s="3" t="s">
        <v>15</v>
      </c>
      <c r="C76" t="s">
        <v>23</v>
      </c>
      <c r="D76" s="4" t="s">
        <v>66</v>
      </c>
      <c r="E76" s="4" t="s">
        <v>174</v>
      </c>
      <c r="F76" s="4" t="s">
        <v>34</v>
      </c>
      <c r="G76" s="4" t="s">
        <v>29</v>
      </c>
      <c r="H76" s="4" t="s">
        <v>41</v>
      </c>
      <c r="I76" s="4" t="s">
        <v>169</v>
      </c>
      <c r="J76" s="5">
        <v>5101</v>
      </c>
      <c r="K76" s="7">
        <f>IF(ROW()=2,IF(Tabela2[[#This Row],[Status]]="Em aberto",0,IF(Tabela2[[#This Row],[Movimentação]]="Saídas",-J76,J76)),IF(Tabela2[[#This Row],[Status]]="Em aberto",0,IF(Tabela2[[#This Row],[Movimentação]]="Saídas",-J76,J76))+K75)</f>
        <v>100111</v>
      </c>
      <c r="L76" s="8">
        <f>IF(ROW()=2,IF(Tabela2[[#This Row],[Movimentação]]="Saídas",-J76,J76),IF(Tabela2[[#This Row],[Movimentação]]="Saídas",-J76,J76)+L75)</f>
        <v>100111</v>
      </c>
    </row>
    <row r="77" spans="1:12" x14ac:dyDescent="0.35">
      <c r="A77" s="1">
        <v>43875</v>
      </c>
      <c r="B77" s="3" t="s">
        <v>15</v>
      </c>
      <c r="C77" t="s">
        <v>24</v>
      </c>
      <c r="D77" s="4" t="s">
        <v>89</v>
      </c>
      <c r="E77" s="4" t="s">
        <v>171</v>
      </c>
      <c r="F77" s="4" t="s">
        <v>34</v>
      </c>
      <c r="G77" s="4" t="s">
        <v>30</v>
      </c>
      <c r="H77" s="4" t="s">
        <v>41</v>
      </c>
      <c r="I77" s="4" t="s">
        <v>167</v>
      </c>
      <c r="J77" s="5">
        <v>9581</v>
      </c>
      <c r="K77" s="7">
        <f>IF(ROW()=2,IF(Tabela2[[#This Row],[Status]]="Em aberto",0,IF(Tabela2[[#This Row],[Movimentação]]="Saídas",-J77,J77)),IF(Tabela2[[#This Row],[Status]]="Em aberto",0,IF(Tabela2[[#This Row],[Movimentação]]="Saídas",-J77,J77))+K76)</f>
        <v>90530</v>
      </c>
      <c r="L77" s="8">
        <f>IF(ROW()=2,IF(Tabela2[[#This Row],[Movimentação]]="Saídas",-J77,J77),IF(Tabela2[[#This Row],[Movimentação]]="Saídas",-J77,J77)+L76)</f>
        <v>90530</v>
      </c>
    </row>
    <row r="78" spans="1:12" x14ac:dyDescent="0.35">
      <c r="A78" s="1">
        <v>43876</v>
      </c>
      <c r="B78" s="3" t="s">
        <v>14</v>
      </c>
      <c r="C78" t="s">
        <v>13</v>
      </c>
      <c r="D78" s="4" t="s">
        <v>43</v>
      </c>
      <c r="E78" s="4" t="s">
        <v>173</v>
      </c>
      <c r="F78" s="4" t="s">
        <v>35</v>
      </c>
      <c r="G78" s="4" t="s">
        <v>32</v>
      </c>
      <c r="H78" s="4" t="s">
        <v>41</v>
      </c>
      <c r="I78" s="4" t="s">
        <v>169</v>
      </c>
      <c r="J78" s="5">
        <v>7878</v>
      </c>
      <c r="K78" s="7">
        <f>IF(ROW()=2,IF(Tabela2[[#This Row],[Status]]="Em aberto",0,IF(Tabela2[[#This Row],[Movimentação]]="Saídas",-J78,J78)),IF(Tabela2[[#This Row],[Status]]="Em aberto",0,IF(Tabela2[[#This Row],[Movimentação]]="Saídas",-J78,J78))+K77)</f>
        <v>98408</v>
      </c>
      <c r="L78" s="8">
        <f>IF(ROW()=2,IF(Tabela2[[#This Row],[Movimentação]]="Saídas",-J78,J78),IF(Tabela2[[#This Row],[Movimentação]]="Saídas",-J78,J78)+L77)</f>
        <v>98408</v>
      </c>
    </row>
    <row r="79" spans="1:12" x14ac:dyDescent="0.35">
      <c r="A79" s="1">
        <v>43889</v>
      </c>
      <c r="B79" s="3" t="s">
        <v>14</v>
      </c>
      <c r="C79" t="s">
        <v>24</v>
      </c>
      <c r="D79" s="4" t="s">
        <v>115</v>
      </c>
      <c r="E79" s="4" t="s">
        <v>173</v>
      </c>
      <c r="F79" s="4" t="s">
        <v>35</v>
      </c>
      <c r="G79" s="4" t="s">
        <v>33</v>
      </c>
      <c r="H79" s="4" t="s">
        <v>41</v>
      </c>
      <c r="I79" s="4" t="s">
        <v>167</v>
      </c>
      <c r="J79" s="5">
        <v>6749</v>
      </c>
      <c r="K79" s="7">
        <f>IF(ROW()=2,IF(Tabela2[[#This Row],[Status]]="Em aberto",0,IF(Tabela2[[#This Row],[Movimentação]]="Saídas",-J79,J79)),IF(Tabela2[[#This Row],[Status]]="Em aberto",0,IF(Tabela2[[#This Row],[Movimentação]]="Saídas",-J79,J79))+K78)</f>
        <v>105157</v>
      </c>
      <c r="L79" s="8">
        <f>IF(ROW()=2,IF(Tabela2[[#This Row],[Movimentação]]="Saídas",-J79,J79),IF(Tabela2[[#This Row],[Movimentação]]="Saídas",-J79,J79)+L78)</f>
        <v>105157</v>
      </c>
    </row>
    <row r="80" spans="1:12" x14ac:dyDescent="0.35">
      <c r="A80" s="1">
        <v>43890</v>
      </c>
      <c r="B80" s="3" t="s">
        <v>14</v>
      </c>
      <c r="C80" t="s">
        <v>13</v>
      </c>
      <c r="D80" s="4" t="s">
        <v>77</v>
      </c>
      <c r="E80" s="4" t="s">
        <v>172</v>
      </c>
      <c r="F80" s="4" t="s">
        <v>34</v>
      </c>
      <c r="G80" s="4" t="s">
        <v>29</v>
      </c>
      <c r="H80" s="4" t="s">
        <v>41</v>
      </c>
      <c r="I80" s="4" t="s">
        <v>167</v>
      </c>
      <c r="J80" s="5">
        <v>6709</v>
      </c>
      <c r="K80" s="7">
        <f>IF(ROW()=2,IF(Tabela2[[#This Row],[Status]]="Em aberto",0,IF(Tabela2[[#This Row],[Movimentação]]="Saídas",-J80,J80)),IF(Tabela2[[#This Row],[Status]]="Em aberto",0,IF(Tabela2[[#This Row],[Movimentação]]="Saídas",-J80,J80))+K79)</f>
        <v>111866</v>
      </c>
      <c r="L80" s="8">
        <f>IF(ROW()=2,IF(Tabela2[[#This Row],[Movimentação]]="Saídas",-J80,J80),IF(Tabela2[[#This Row],[Movimentação]]="Saídas",-J80,J80)+L79)</f>
        <v>111866</v>
      </c>
    </row>
    <row r="81" spans="1:12" x14ac:dyDescent="0.35">
      <c r="A81" s="1">
        <v>43897</v>
      </c>
      <c r="B81" s="3" t="s">
        <v>14</v>
      </c>
      <c r="C81" t="s">
        <v>13</v>
      </c>
      <c r="D81" s="4" t="s">
        <v>53</v>
      </c>
      <c r="E81" s="4" t="s">
        <v>173</v>
      </c>
      <c r="F81" s="4" t="s">
        <v>36</v>
      </c>
      <c r="G81" s="4" t="s">
        <v>31</v>
      </c>
      <c r="H81" s="4" t="s">
        <v>41</v>
      </c>
      <c r="I81" s="4" t="s">
        <v>168</v>
      </c>
      <c r="J81" s="5">
        <v>5625</v>
      </c>
      <c r="K81" s="7">
        <f>IF(ROW()=2,IF(Tabela2[[#This Row],[Status]]="Em aberto",0,IF(Tabela2[[#This Row],[Movimentação]]="Saídas",-J81,J81)),IF(Tabela2[[#This Row],[Status]]="Em aberto",0,IF(Tabela2[[#This Row],[Movimentação]]="Saídas",-J81,J81))+K80)</f>
        <v>117491</v>
      </c>
      <c r="L81" s="8">
        <f>IF(ROW()=2,IF(Tabela2[[#This Row],[Movimentação]]="Saídas",-J81,J81),IF(Tabela2[[#This Row],[Movimentação]]="Saídas",-J81,J81)+L80)</f>
        <v>117491</v>
      </c>
    </row>
    <row r="82" spans="1:12" x14ac:dyDescent="0.35">
      <c r="A82" s="1">
        <v>43900</v>
      </c>
      <c r="B82" s="3" t="s">
        <v>14</v>
      </c>
      <c r="C82" t="s">
        <v>11</v>
      </c>
      <c r="D82" s="4" t="s">
        <v>49</v>
      </c>
      <c r="E82" s="4" t="s">
        <v>172</v>
      </c>
      <c r="F82" s="4" t="s">
        <v>35</v>
      </c>
      <c r="G82" s="4" t="s">
        <v>32</v>
      </c>
      <c r="H82" s="4" t="s">
        <v>41</v>
      </c>
      <c r="I82" s="4" t="s">
        <v>167</v>
      </c>
      <c r="J82" s="5">
        <v>4916</v>
      </c>
      <c r="K82" s="7">
        <f>IF(ROW()=2,IF(Tabela2[[#This Row],[Status]]="Em aberto",0,IF(Tabela2[[#This Row],[Movimentação]]="Saídas",-J82,J82)),IF(Tabela2[[#This Row],[Status]]="Em aberto",0,IF(Tabela2[[#This Row],[Movimentação]]="Saídas",-J82,J82))+K81)</f>
        <v>122407</v>
      </c>
      <c r="L82" s="8">
        <f>IF(ROW()=2,IF(Tabela2[[#This Row],[Movimentação]]="Saídas",-J82,J82),IF(Tabela2[[#This Row],[Movimentação]]="Saídas",-J82,J82)+L81)</f>
        <v>122407</v>
      </c>
    </row>
    <row r="83" spans="1:12" x14ac:dyDescent="0.35">
      <c r="A83" s="1">
        <v>43908</v>
      </c>
      <c r="B83" s="3" t="s">
        <v>15</v>
      </c>
      <c r="C83" t="s">
        <v>10</v>
      </c>
      <c r="D83" s="4" t="s">
        <v>86</v>
      </c>
      <c r="E83" s="4" t="s">
        <v>174</v>
      </c>
      <c r="F83" s="4" t="s">
        <v>35</v>
      </c>
      <c r="G83" s="4" t="s">
        <v>33</v>
      </c>
      <c r="H83" s="4" t="s">
        <v>41</v>
      </c>
      <c r="I83" s="4" t="s">
        <v>167</v>
      </c>
      <c r="J83" s="5">
        <v>5300</v>
      </c>
      <c r="K83" s="7">
        <f>IF(ROW()=2,IF(Tabela2[[#This Row],[Status]]="Em aberto",0,IF(Tabela2[[#This Row],[Movimentação]]="Saídas",-J83,J83)),IF(Tabela2[[#This Row],[Status]]="Em aberto",0,IF(Tabela2[[#This Row],[Movimentação]]="Saídas",-J83,J83))+K82)</f>
        <v>117107</v>
      </c>
      <c r="L83" s="8">
        <f>IF(ROW()=2,IF(Tabela2[[#This Row],[Movimentação]]="Saídas",-J83,J83),IF(Tabela2[[#This Row],[Movimentação]]="Saídas",-J83,J83)+L82)</f>
        <v>117107</v>
      </c>
    </row>
    <row r="84" spans="1:12" x14ac:dyDescent="0.35">
      <c r="A84" s="1">
        <v>43917</v>
      </c>
      <c r="B84" s="3" t="s">
        <v>14</v>
      </c>
      <c r="C84" t="s">
        <v>13</v>
      </c>
      <c r="D84" s="4" t="s">
        <v>124</v>
      </c>
      <c r="E84" s="4" t="s">
        <v>175</v>
      </c>
      <c r="F84" s="4" t="s">
        <v>35</v>
      </c>
      <c r="G84" s="4" t="s">
        <v>29</v>
      </c>
      <c r="H84" s="4" t="s">
        <v>41</v>
      </c>
      <c r="I84" s="4" t="s">
        <v>168</v>
      </c>
      <c r="J84" s="5">
        <v>7659</v>
      </c>
      <c r="K84" s="7">
        <f>IF(ROW()=2,IF(Tabela2[[#This Row],[Status]]="Em aberto",0,IF(Tabela2[[#This Row],[Movimentação]]="Saídas",-J84,J84)),IF(Tabela2[[#This Row],[Status]]="Em aberto",0,IF(Tabela2[[#This Row],[Movimentação]]="Saídas",-J84,J84))+K83)</f>
        <v>124766</v>
      </c>
      <c r="L84" s="8">
        <f>IF(ROW()=2,IF(Tabela2[[#This Row],[Movimentação]]="Saídas",-J84,J84),IF(Tabela2[[#This Row],[Movimentação]]="Saídas",-J84,J84)+L83)</f>
        <v>124766</v>
      </c>
    </row>
    <row r="85" spans="1:12" x14ac:dyDescent="0.35">
      <c r="A85" s="1">
        <v>43919</v>
      </c>
      <c r="B85" s="3" t="s">
        <v>15</v>
      </c>
      <c r="C85" t="s">
        <v>20</v>
      </c>
      <c r="D85" s="4" t="s">
        <v>52</v>
      </c>
      <c r="E85" s="4" t="s">
        <v>172</v>
      </c>
      <c r="F85" s="4" t="s">
        <v>36</v>
      </c>
      <c r="G85" s="4" t="s">
        <v>30</v>
      </c>
      <c r="H85" s="4" t="s">
        <v>41</v>
      </c>
      <c r="I85" s="4" t="s">
        <v>169</v>
      </c>
      <c r="J85" s="5">
        <v>6600</v>
      </c>
      <c r="K85" s="7">
        <f>IF(ROW()=2,IF(Tabela2[[#This Row],[Status]]="Em aberto",0,IF(Tabela2[[#This Row],[Movimentação]]="Saídas",-J85,J85)),IF(Tabela2[[#This Row],[Status]]="Em aberto",0,IF(Tabela2[[#This Row],[Movimentação]]="Saídas",-J85,J85))+K84)</f>
        <v>118166</v>
      </c>
      <c r="L85" s="8">
        <f>IF(ROW()=2,IF(Tabela2[[#This Row],[Movimentação]]="Saídas",-J85,J85),IF(Tabela2[[#This Row],[Movimentação]]="Saídas",-J85,J85)+L84)</f>
        <v>118166</v>
      </c>
    </row>
    <row r="86" spans="1:12" x14ac:dyDescent="0.35">
      <c r="A86" s="1">
        <v>43928</v>
      </c>
      <c r="B86" s="3" t="s">
        <v>15</v>
      </c>
      <c r="C86" t="s">
        <v>10</v>
      </c>
      <c r="D86" s="4" t="s">
        <v>56</v>
      </c>
      <c r="E86" s="4" t="s">
        <v>174</v>
      </c>
      <c r="F86" s="4" t="s">
        <v>36</v>
      </c>
      <c r="G86" s="4" t="s">
        <v>30</v>
      </c>
      <c r="H86" s="4" t="s">
        <v>41</v>
      </c>
      <c r="I86" s="4" t="s">
        <v>167</v>
      </c>
      <c r="J86" s="5">
        <v>9464</v>
      </c>
      <c r="K86" s="7">
        <f>IF(ROW()=2,IF(Tabela2[[#This Row],[Status]]="Em aberto",0,IF(Tabela2[[#This Row],[Movimentação]]="Saídas",-J86,J86)),IF(Tabela2[[#This Row],[Status]]="Em aberto",0,IF(Tabela2[[#This Row],[Movimentação]]="Saídas",-J86,J86))+K85)</f>
        <v>108702</v>
      </c>
      <c r="L86" s="8">
        <f>IF(ROW()=2,IF(Tabela2[[#This Row],[Movimentação]]="Saídas",-J86,J86),IF(Tabela2[[#This Row],[Movimentação]]="Saídas",-J86,J86)+L85)</f>
        <v>108702</v>
      </c>
    </row>
    <row r="87" spans="1:12" x14ac:dyDescent="0.35">
      <c r="A87" s="1">
        <v>43934</v>
      </c>
      <c r="B87" s="3" t="s">
        <v>14</v>
      </c>
      <c r="C87" t="s">
        <v>12</v>
      </c>
      <c r="D87" s="4" t="s">
        <v>128</v>
      </c>
      <c r="E87" s="4" t="s">
        <v>176</v>
      </c>
      <c r="F87" s="4" t="s">
        <v>34</v>
      </c>
      <c r="G87" s="4" t="s">
        <v>32</v>
      </c>
      <c r="H87" s="4" t="s">
        <v>41</v>
      </c>
      <c r="I87" s="4" t="s">
        <v>168</v>
      </c>
      <c r="J87" s="5">
        <v>9614</v>
      </c>
      <c r="K87" s="7">
        <f>IF(ROW()=2,IF(Tabela2[[#This Row],[Status]]="Em aberto",0,IF(Tabela2[[#This Row],[Movimentação]]="Saídas",-J87,J87)),IF(Tabela2[[#This Row],[Status]]="Em aberto",0,IF(Tabela2[[#This Row],[Movimentação]]="Saídas",-J87,J87))+K86)</f>
        <v>118316</v>
      </c>
      <c r="L87" s="8">
        <f>IF(ROW()=2,IF(Tabela2[[#This Row],[Movimentação]]="Saídas",-J87,J87),IF(Tabela2[[#This Row],[Movimentação]]="Saídas",-J87,J87)+L86)</f>
        <v>118316</v>
      </c>
    </row>
    <row r="88" spans="1:12" x14ac:dyDescent="0.35">
      <c r="A88" s="1">
        <v>43935</v>
      </c>
      <c r="B88" s="3" t="s">
        <v>14</v>
      </c>
      <c r="C88" t="s">
        <v>13</v>
      </c>
      <c r="D88" s="4" t="s">
        <v>79</v>
      </c>
      <c r="E88" s="4" t="s">
        <v>172</v>
      </c>
      <c r="F88" s="4" t="s">
        <v>36</v>
      </c>
      <c r="G88" s="4" t="s">
        <v>31</v>
      </c>
      <c r="H88" s="4" t="s">
        <v>41</v>
      </c>
      <c r="I88" s="4" t="s">
        <v>168</v>
      </c>
      <c r="J88" s="5">
        <v>6572</v>
      </c>
      <c r="K88" s="7">
        <f>IF(ROW()=2,IF(Tabela2[[#This Row],[Status]]="Em aberto",0,IF(Tabela2[[#This Row],[Movimentação]]="Saídas",-J88,J88)),IF(Tabela2[[#This Row],[Status]]="Em aberto",0,IF(Tabela2[[#This Row],[Movimentação]]="Saídas",-J88,J88))+K87)</f>
        <v>124888</v>
      </c>
      <c r="L88" s="8">
        <f>IF(ROW()=2,IF(Tabela2[[#This Row],[Movimentação]]="Saídas",-J88,J88),IF(Tabela2[[#This Row],[Movimentação]]="Saídas",-J88,J88)+L87)</f>
        <v>124888</v>
      </c>
    </row>
    <row r="89" spans="1:12" x14ac:dyDescent="0.35">
      <c r="A89" s="1">
        <v>43946</v>
      </c>
      <c r="B89" s="3" t="s">
        <v>14</v>
      </c>
      <c r="C89" t="s">
        <v>26</v>
      </c>
      <c r="D89" s="4" t="s">
        <v>83</v>
      </c>
      <c r="E89" s="4" t="s">
        <v>171</v>
      </c>
      <c r="F89" s="4" t="s">
        <v>36</v>
      </c>
      <c r="G89" s="4" t="s">
        <v>32</v>
      </c>
      <c r="H89" s="4" t="s">
        <v>41</v>
      </c>
      <c r="I89" s="4" t="s">
        <v>169</v>
      </c>
      <c r="J89" s="5">
        <v>4305</v>
      </c>
      <c r="K89" s="7">
        <f>IF(ROW()=2,IF(Tabela2[[#This Row],[Status]]="Em aberto",0,IF(Tabela2[[#This Row],[Movimentação]]="Saídas",-J89,J89)),IF(Tabela2[[#This Row],[Status]]="Em aberto",0,IF(Tabela2[[#This Row],[Movimentação]]="Saídas",-J89,J89))+K88)</f>
        <v>129193</v>
      </c>
      <c r="L89" s="8">
        <f>IF(ROW()=2,IF(Tabela2[[#This Row],[Movimentação]]="Saídas",-J89,J89),IF(Tabela2[[#This Row],[Movimentação]]="Saídas",-J89,J89)+L88)</f>
        <v>129193</v>
      </c>
    </row>
    <row r="90" spans="1:12" x14ac:dyDescent="0.35">
      <c r="A90" s="1">
        <v>43955</v>
      </c>
      <c r="B90" s="3" t="s">
        <v>14</v>
      </c>
      <c r="C90" t="s">
        <v>13</v>
      </c>
      <c r="D90" s="4" t="s">
        <v>61</v>
      </c>
      <c r="E90" s="4" t="s">
        <v>177</v>
      </c>
      <c r="F90" s="4" t="s">
        <v>35</v>
      </c>
      <c r="G90" s="4" t="s">
        <v>31</v>
      </c>
      <c r="H90" s="4" t="s">
        <v>41</v>
      </c>
      <c r="I90" s="4" t="s">
        <v>169</v>
      </c>
      <c r="J90" s="5">
        <v>2296</v>
      </c>
      <c r="K90" s="7">
        <f>IF(ROW()=2,IF(Tabela2[[#This Row],[Status]]="Em aberto",0,IF(Tabela2[[#This Row],[Movimentação]]="Saídas",-J90,J90)),IF(Tabela2[[#This Row],[Status]]="Em aberto",0,IF(Tabela2[[#This Row],[Movimentação]]="Saídas",-J90,J90))+K89)</f>
        <v>131489</v>
      </c>
      <c r="L90" s="8">
        <f>IF(ROW()=2,IF(Tabela2[[#This Row],[Movimentação]]="Saídas",-J90,J90),IF(Tabela2[[#This Row],[Movimentação]]="Saídas",-J90,J90)+L89)</f>
        <v>131489</v>
      </c>
    </row>
    <row r="91" spans="1:12" x14ac:dyDescent="0.35">
      <c r="A91" s="1">
        <v>43955</v>
      </c>
      <c r="B91" s="3" t="s">
        <v>15</v>
      </c>
      <c r="C91" t="s">
        <v>11</v>
      </c>
      <c r="D91" s="4" t="s">
        <v>125</v>
      </c>
      <c r="E91" s="4" t="s">
        <v>172</v>
      </c>
      <c r="F91" s="4" t="s">
        <v>36</v>
      </c>
      <c r="G91" s="4" t="s">
        <v>30</v>
      </c>
      <c r="H91" s="4" t="s">
        <v>41</v>
      </c>
      <c r="I91" s="4" t="s">
        <v>169</v>
      </c>
      <c r="J91" s="5">
        <v>4173</v>
      </c>
      <c r="K91" s="7">
        <f>IF(ROW()=2,IF(Tabela2[[#This Row],[Status]]="Em aberto",0,IF(Tabela2[[#This Row],[Movimentação]]="Saídas",-J91,J91)),IF(Tabela2[[#This Row],[Status]]="Em aberto",0,IF(Tabela2[[#This Row],[Movimentação]]="Saídas",-J91,J91))+K90)</f>
        <v>127316</v>
      </c>
      <c r="L91" s="8">
        <f>IF(ROW()=2,IF(Tabela2[[#This Row],[Movimentação]]="Saídas",-J91,J91),IF(Tabela2[[#This Row],[Movimentação]]="Saídas",-J91,J91)+L90)</f>
        <v>127316</v>
      </c>
    </row>
    <row r="92" spans="1:12" x14ac:dyDescent="0.35">
      <c r="A92" s="1">
        <v>43960</v>
      </c>
      <c r="B92" s="3" t="s">
        <v>15</v>
      </c>
      <c r="C92" t="s">
        <v>12</v>
      </c>
      <c r="D92" s="4" t="s">
        <v>60</v>
      </c>
      <c r="E92" s="4" t="s">
        <v>174</v>
      </c>
      <c r="F92" s="4" t="s">
        <v>35</v>
      </c>
      <c r="G92" s="4" t="s">
        <v>31</v>
      </c>
      <c r="H92" s="4" t="s">
        <v>41</v>
      </c>
      <c r="I92" s="4" t="s">
        <v>167</v>
      </c>
      <c r="J92" s="5">
        <v>9772</v>
      </c>
      <c r="K92" s="7">
        <f>IF(ROW()=2,IF(Tabela2[[#This Row],[Status]]="Em aberto",0,IF(Tabela2[[#This Row],[Movimentação]]="Saídas",-J92,J92)),IF(Tabela2[[#This Row],[Status]]="Em aberto",0,IF(Tabela2[[#This Row],[Movimentação]]="Saídas",-J92,J92))+K91)</f>
        <v>117544</v>
      </c>
      <c r="L92" s="8">
        <f>IF(ROW()=2,IF(Tabela2[[#This Row],[Movimentação]]="Saídas",-J92,J92),IF(Tabela2[[#This Row],[Movimentação]]="Saídas",-J92,J92)+L91)</f>
        <v>117544</v>
      </c>
    </row>
    <row r="93" spans="1:12" x14ac:dyDescent="0.35">
      <c r="A93" s="1">
        <v>43961</v>
      </c>
      <c r="B93" s="3" t="s">
        <v>14</v>
      </c>
      <c r="C93" t="s">
        <v>13</v>
      </c>
      <c r="D93" s="4" t="s">
        <v>72</v>
      </c>
      <c r="E93" s="4" t="s">
        <v>171</v>
      </c>
      <c r="F93" s="4" t="s">
        <v>35</v>
      </c>
      <c r="G93" s="4" t="s">
        <v>31</v>
      </c>
      <c r="H93" s="4" t="s">
        <v>41</v>
      </c>
      <c r="I93" s="4" t="s">
        <v>168</v>
      </c>
      <c r="J93" s="5">
        <v>6978</v>
      </c>
      <c r="K93" s="7">
        <f>IF(ROW()=2,IF(Tabela2[[#This Row],[Status]]="Em aberto",0,IF(Tabela2[[#This Row],[Movimentação]]="Saídas",-J93,J93)),IF(Tabela2[[#This Row],[Status]]="Em aberto",0,IF(Tabela2[[#This Row],[Movimentação]]="Saídas",-J93,J93))+K92)</f>
        <v>124522</v>
      </c>
      <c r="L93" s="8">
        <f>IF(ROW()=2,IF(Tabela2[[#This Row],[Movimentação]]="Saídas",-J93,J93),IF(Tabela2[[#This Row],[Movimentação]]="Saídas",-J93,J93)+L92)</f>
        <v>124522</v>
      </c>
    </row>
    <row r="94" spans="1:12" x14ac:dyDescent="0.35">
      <c r="A94" s="1">
        <v>43965</v>
      </c>
      <c r="B94" s="3" t="s">
        <v>14</v>
      </c>
      <c r="C94" t="s">
        <v>10</v>
      </c>
      <c r="D94" s="4" t="s">
        <v>57</v>
      </c>
      <c r="E94" s="4" t="s">
        <v>174</v>
      </c>
      <c r="F94" s="4" t="s">
        <v>35</v>
      </c>
      <c r="G94" s="4" t="s">
        <v>29</v>
      </c>
      <c r="H94" s="4" t="s">
        <v>41</v>
      </c>
      <c r="I94" s="4" t="s">
        <v>169</v>
      </c>
      <c r="J94" s="5">
        <v>3428</v>
      </c>
      <c r="K94" s="7">
        <f>IF(ROW()=2,IF(Tabela2[[#This Row],[Status]]="Em aberto",0,IF(Tabela2[[#This Row],[Movimentação]]="Saídas",-J94,J94)),IF(Tabela2[[#This Row],[Status]]="Em aberto",0,IF(Tabela2[[#This Row],[Movimentação]]="Saídas",-J94,J94))+K93)</f>
        <v>127950</v>
      </c>
      <c r="L94" s="8">
        <f>IF(ROW()=2,IF(Tabela2[[#This Row],[Movimentação]]="Saídas",-J94,J94),IF(Tabela2[[#This Row],[Movimentação]]="Saídas",-J94,J94)+L93)</f>
        <v>127950</v>
      </c>
    </row>
    <row r="95" spans="1:12" x14ac:dyDescent="0.35">
      <c r="A95" s="1">
        <v>43979</v>
      </c>
      <c r="B95" s="3" t="s">
        <v>14</v>
      </c>
      <c r="C95" t="s">
        <v>10</v>
      </c>
      <c r="D95" s="4" t="s">
        <v>100</v>
      </c>
      <c r="E95" s="4" t="s">
        <v>177</v>
      </c>
      <c r="F95" s="4" t="s">
        <v>35</v>
      </c>
      <c r="G95" s="4" t="s">
        <v>31</v>
      </c>
      <c r="H95" s="4" t="s">
        <v>41</v>
      </c>
      <c r="I95" s="4" t="s">
        <v>168</v>
      </c>
      <c r="J95" s="5">
        <v>455</v>
      </c>
      <c r="K95" s="7">
        <f>IF(ROW()=2,IF(Tabela2[[#This Row],[Status]]="Em aberto",0,IF(Tabela2[[#This Row],[Movimentação]]="Saídas",-J95,J95)),IF(Tabela2[[#This Row],[Status]]="Em aberto",0,IF(Tabela2[[#This Row],[Movimentação]]="Saídas",-J95,J95))+K94)</f>
        <v>128405</v>
      </c>
      <c r="L95" s="8">
        <f>IF(ROW()=2,IF(Tabela2[[#This Row],[Movimentação]]="Saídas",-J95,J95),IF(Tabela2[[#This Row],[Movimentação]]="Saídas",-J95,J95)+L94)</f>
        <v>128405</v>
      </c>
    </row>
    <row r="96" spans="1:12" x14ac:dyDescent="0.35">
      <c r="A96" s="1">
        <v>43979</v>
      </c>
      <c r="B96" s="3" t="s">
        <v>14</v>
      </c>
      <c r="C96" t="s">
        <v>13</v>
      </c>
      <c r="D96" s="4" t="s">
        <v>105</v>
      </c>
      <c r="E96" s="4" t="s">
        <v>175</v>
      </c>
      <c r="F96" s="4" t="s">
        <v>35</v>
      </c>
      <c r="G96" s="4" t="s">
        <v>32</v>
      </c>
      <c r="H96" s="4" t="s">
        <v>41</v>
      </c>
      <c r="I96" s="4" t="s">
        <v>169</v>
      </c>
      <c r="J96" s="5">
        <v>3702</v>
      </c>
      <c r="K96" s="7">
        <f>IF(ROW()=2,IF(Tabela2[[#This Row],[Status]]="Em aberto",0,IF(Tabela2[[#This Row],[Movimentação]]="Saídas",-J96,J96)),IF(Tabela2[[#This Row],[Status]]="Em aberto",0,IF(Tabela2[[#This Row],[Movimentação]]="Saídas",-J96,J96))+K95)</f>
        <v>132107</v>
      </c>
      <c r="L96" s="8">
        <f>IF(ROW()=2,IF(Tabela2[[#This Row],[Movimentação]]="Saídas",-J96,J96),IF(Tabela2[[#This Row],[Movimentação]]="Saídas",-J96,J96)+L95)</f>
        <v>132107</v>
      </c>
    </row>
    <row r="97" spans="1:12" x14ac:dyDescent="0.35">
      <c r="A97" s="1">
        <v>43987</v>
      </c>
      <c r="B97" s="3" t="s">
        <v>14</v>
      </c>
      <c r="C97" t="s">
        <v>11</v>
      </c>
      <c r="D97" s="4" t="s">
        <v>58</v>
      </c>
      <c r="E97" s="4" t="s">
        <v>174</v>
      </c>
      <c r="F97" s="4" t="s">
        <v>36</v>
      </c>
      <c r="G97" s="4" t="s">
        <v>29</v>
      </c>
      <c r="H97" s="4" t="s">
        <v>41</v>
      </c>
      <c r="I97" s="4" t="s">
        <v>167</v>
      </c>
      <c r="J97" s="5">
        <v>913</v>
      </c>
      <c r="K97" s="7">
        <f>IF(ROW()=2,IF(Tabela2[[#This Row],[Status]]="Em aberto",0,IF(Tabela2[[#This Row],[Movimentação]]="Saídas",-J97,J97)),IF(Tabela2[[#This Row],[Status]]="Em aberto",0,IF(Tabela2[[#This Row],[Movimentação]]="Saídas",-J97,J97))+K96)</f>
        <v>133020</v>
      </c>
      <c r="L97" s="8">
        <f>IF(ROW()=2,IF(Tabela2[[#This Row],[Movimentação]]="Saídas",-J97,J97),IF(Tabela2[[#This Row],[Movimentação]]="Saídas",-J97,J97)+L96)</f>
        <v>133020</v>
      </c>
    </row>
    <row r="98" spans="1:12" x14ac:dyDescent="0.35">
      <c r="A98" s="1">
        <v>43988</v>
      </c>
      <c r="B98" s="3" t="s">
        <v>14</v>
      </c>
      <c r="C98" t="s">
        <v>22</v>
      </c>
      <c r="D98" s="4" t="s">
        <v>109</v>
      </c>
      <c r="E98" s="4" t="s">
        <v>172</v>
      </c>
      <c r="F98" s="4" t="s">
        <v>34</v>
      </c>
      <c r="G98" s="4" t="s">
        <v>29</v>
      </c>
      <c r="H98" s="4" t="s">
        <v>41</v>
      </c>
      <c r="I98" s="4" t="s">
        <v>167</v>
      </c>
      <c r="J98" s="5">
        <v>3263</v>
      </c>
      <c r="K98" s="7">
        <f>IF(ROW()=2,IF(Tabela2[[#This Row],[Status]]="Em aberto",0,IF(Tabela2[[#This Row],[Movimentação]]="Saídas",-J98,J98)),IF(Tabela2[[#This Row],[Status]]="Em aberto",0,IF(Tabela2[[#This Row],[Movimentação]]="Saídas",-J98,J98))+K97)</f>
        <v>136283</v>
      </c>
      <c r="L98" s="8">
        <f>IF(ROW()=2,IF(Tabela2[[#This Row],[Movimentação]]="Saídas",-J98,J98),IF(Tabela2[[#This Row],[Movimentação]]="Saídas",-J98,J98)+L97)</f>
        <v>136283</v>
      </c>
    </row>
    <row r="99" spans="1:12" x14ac:dyDescent="0.35">
      <c r="A99" s="1">
        <v>43990</v>
      </c>
      <c r="B99" s="3" t="s">
        <v>14</v>
      </c>
      <c r="C99" t="s">
        <v>22</v>
      </c>
      <c r="D99" s="4" t="s">
        <v>113</v>
      </c>
      <c r="E99" s="4" t="s">
        <v>172</v>
      </c>
      <c r="F99" s="4" t="s">
        <v>36</v>
      </c>
      <c r="G99" s="4" t="s">
        <v>32</v>
      </c>
      <c r="H99" s="4" t="s">
        <v>41</v>
      </c>
      <c r="I99" s="4" t="s">
        <v>167</v>
      </c>
      <c r="J99" s="5">
        <v>4753</v>
      </c>
      <c r="K99" s="7">
        <f>IF(ROW()=2,IF(Tabela2[[#This Row],[Status]]="Em aberto",0,IF(Tabela2[[#This Row],[Movimentação]]="Saídas",-J99,J99)),IF(Tabela2[[#This Row],[Status]]="Em aberto",0,IF(Tabela2[[#This Row],[Movimentação]]="Saídas",-J99,J99))+K98)</f>
        <v>141036</v>
      </c>
      <c r="L99" s="8">
        <f>IF(ROW()=2,IF(Tabela2[[#This Row],[Movimentação]]="Saídas",-J99,J99),IF(Tabela2[[#This Row],[Movimentação]]="Saídas",-J99,J99)+L98)</f>
        <v>141036</v>
      </c>
    </row>
    <row r="100" spans="1:12" x14ac:dyDescent="0.35">
      <c r="A100" s="1">
        <v>43996</v>
      </c>
      <c r="B100" s="3" t="s">
        <v>14</v>
      </c>
      <c r="C100" t="s">
        <v>13</v>
      </c>
      <c r="D100" s="4" t="s">
        <v>65</v>
      </c>
      <c r="E100" s="4" t="s">
        <v>174</v>
      </c>
      <c r="F100" s="4" t="s">
        <v>36</v>
      </c>
      <c r="G100" s="4" t="s">
        <v>29</v>
      </c>
      <c r="H100" s="4" t="s">
        <v>41</v>
      </c>
      <c r="I100" s="4" t="s">
        <v>168</v>
      </c>
      <c r="J100" s="5">
        <v>7186</v>
      </c>
      <c r="K100" s="7">
        <f>IF(ROW()=2,IF(Tabela2[[#This Row],[Status]]="Em aberto",0,IF(Tabela2[[#This Row],[Movimentação]]="Saídas",-J100,J100)),IF(Tabela2[[#This Row],[Status]]="Em aberto",0,IF(Tabela2[[#This Row],[Movimentação]]="Saídas",-J100,J100))+K99)</f>
        <v>148222</v>
      </c>
      <c r="L100" s="8">
        <f>IF(ROW()=2,IF(Tabela2[[#This Row],[Movimentação]]="Saídas",-J100,J100),IF(Tabela2[[#This Row],[Movimentação]]="Saídas",-J100,J100)+L99)</f>
        <v>148222</v>
      </c>
    </row>
    <row r="101" spans="1:12" x14ac:dyDescent="0.35">
      <c r="A101" s="1">
        <v>43996</v>
      </c>
      <c r="B101" s="3" t="s">
        <v>15</v>
      </c>
      <c r="C101" t="s">
        <v>12</v>
      </c>
      <c r="D101" s="4" t="s">
        <v>133</v>
      </c>
      <c r="E101" s="4" t="s">
        <v>172</v>
      </c>
      <c r="F101" s="4" t="s">
        <v>36</v>
      </c>
      <c r="G101" s="4" t="s">
        <v>31</v>
      </c>
      <c r="H101" s="4" t="s">
        <v>41</v>
      </c>
      <c r="I101" s="4" t="s">
        <v>167</v>
      </c>
      <c r="J101" s="5">
        <v>873</v>
      </c>
      <c r="K101" s="7">
        <f>IF(ROW()=2,IF(Tabela2[[#This Row],[Status]]="Em aberto",0,IF(Tabela2[[#This Row],[Movimentação]]="Saídas",-J101,J101)),IF(Tabela2[[#This Row],[Status]]="Em aberto",0,IF(Tabela2[[#This Row],[Movimentação]]="Saídas",-J101,J101))+K100)</f>
        <v>147349</v>
      </c>
      <c r="L101" s="8">
        <f>IF(ROW()=2,IF(Tabela2[[#This Row],[Movimentação]]="Saídas",-J101,J101),IF(Tabela2[[#This Row],[Movimentação]]="Saídas",-J101,J101)+L100)</f>
        <v>147349</v>
      </c>
    </row>
    <row r="102" spans="1:12" x14ac:dyDescent="0.35">
      <c r="A102" s="1">
        <v>44000</v>
      </c>
      <c r="B102" s="3" t="s">
        <v>14</v>
      </c>
      <c r="C102" t="s">
        <v>12</v>
      </c>
      <c r="D102" s="4" t="s">
        <v>51</v>
      </c>
      <c r="E102" s="4" t="s">
        <v>174</v>
      </c>
      <c r="F102" s="4" t="s">
        <v>34</v>
      </c>
      <c r="G102" s="4" t="s">
        <v>32</v>
      </c>
      <c r="H102" s="4" t="s">
        <v>41</v>
      </c>
      <c r="I102" s="4" t="s">
        <v>169</v>
      </c>
      <c r="J102" s="5">
        <v>2000</v>
      </c>
      <c r="K102" s="7">
        <f>IF(ROW()=2,IF(Tabela2[[#This Row],[Status]]="Em aberto",0,IF(Tabela2[[#This Row],[Movimentação]]="Saídas",-J102,J102)),IF(Tabela2[[#This Row],[Status]]="Em aberto",0,IF(Tabela2[[#This Row],[Movimentação]]="Saídas",-J102,J102))+K101)</f>
        <v>149349</v>
      </c>
      <c r="L102" s="8">
        <f>IF(ROW()=2,IF(Tabela2[[#This Row],[Movimentação]]="Saídas",-J102,J102),IF(Tabela2[[#This Row],[Movimentação]]="Saídas",-J102,J102)+L101)</f>
        <v>149349</v>
      </c>
    </row>
  </sheetData>
  <dataValidations count="7">
    <dataValidation type="list" allowBlank="1" showInputMessage="1" showErrorMessage="1" sqref="B2:B102" xr:uid="{8174542A-47FB-4329-8A75-D9F18B2255C6}">
      <formula1>"Entradas,Saídas,Transferências"</formula1>
    </dataValidation>
    <dataValidation type="list" allowBlank="1" showInputMessage="1" showErrorMessage="1" sqref="F2:F102" xr:uid="{60F29D5C-13C5-481E-908F-F7594BC7A50F}">
      <formula1>Favorecidos</formula1>
    </dataValidation>
    <dataValidation type="list" allowBlank="1" showInputMessage="1" showErrorMessage="1" sqref="G2:G102" xr:uid="{DA00100C-6E10-4A02-9EDB-47B6C45DF8D1}">
      <formula1>CentroDeCustos</formula1>
    </dataValidation>
    <dataValidation type="list" allowBlank="1" showInputMessage="1" showErrorMessage="1" sqref="H2:H102" xr:uid="{110A87E8-4C58-41CC-AA3E-2B84FE0A8437}">
      <formula1>"Pago, Em aberto"</formula1>
    </dataValidation>
    <dataValidation type="list" allowBlank="1" showInputMessage="1" showErrorMessage="1" sqref="I2:I102" xr:uid="{E0E44196-44FE-4763-9974-073C9CE2ABB0}">
      <formula1>Contas</formula1>
    </dataValidation>
    <dataValidation type="list" allowBlank="1" showInputMessage="1" showErrorMessage="1" sqref="C2:C102" xr:uid="{7A3D3479-7BE0-4424-AA87-AF14EDED1143}">
      <formula1>INDIRECT($B2)</formula1>
    </dataValidation>
    <dataValidation type="custom" allowBlank="1" showInputMessage="1" showErrorMessage="1" errorTitle="Erro!" error="Somente valores positivos devem ser cadastrados nessa coluna (saídas serão descontadas do Saldo Acumulado)" sqref="J2:J102" xr:uid="{BE2C8564-E76A-4025-A0F4-2696E53C6580}">
      <formula1>J2&gt;0</formula1>
    </dataValidation>
  </dataValidations>
  <pageMargins left="0.511811024" right="0.511811024" top="0.78740157499999996" bottom="0.78740157499999996" header="0.31496062000000002" footer="0.31496062000000002"/>
  <ignoredErrors>
    <ignoredError sqref="C2:C102" listDataValidation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0DA2-348F-4902-9FA5-240A6A02E621}">
  <sheetPr codeName="Planilha5"/>
  <dimension ref="A1:E12"/>
  <sheetViews>
    <sheetView workbookViewId="0">
      <selection activeCell="D1" sqref="D1:E4"/>
    </sheetView>
  </sheetViews>
  <sheetFormatPr defaultRowHeight="14.5" x14ac:dyDescent="0.35"/>
  <cols>
    <col min="5" max="5" width="47.81640625" bestFit="1" customWidth="1"/>
  </cols>
  <sheetData>
    <row r="1" spans="1:5" x14ac:dyDescent="0.35">
      <c r="A1" t="s">
        <v>142</v>
      </c>
      <c r="B1">
        <v>1</v>
      </c>
      <c r="D1" t="s">
        <v>155</v>
      </c>
      <c r="E1" s="16">
        <f>MIN(Dashboard!B:B)</f>
        <v>43862</v>
      </c>
    </row>
    <row r="2" spans="1:5" x14ac:dyDescent="0.35">
      <c r="A2" t="s">
        <v>143</v>
      </c>
      <c r="B2">
        <v>2</v>
      </c>
      <c r="D2" t="s">
        <v>156</v>
      </c>
      <c r="E2" s="16">
        <f t="array" ref="E2">MAX(IF(Dashboard!C:C&gt;0,Dashboard!B:B))</f>
        <v>43983</v>
      </c>
    </row>
    <row r="3" spans="1:5" x14ac:dyDescent="0.35">
      <c r="A3" t="s">
        <v>144</v>
      </c>
      <c r="B3">
        <v>3</v>
      </c>
    </row>
    <row r="4" spans="1:5" x14ac:dyDescent="0.35">
      <c r="A4" t="s">
        <v>145</v>
      </c>
      <c r="B4">
        <v>4</v>
      </c>
      <c r="D4" t="s">
        <v>157</v>
      </c>
      <c r="E4" t="str">
        <f>"Fluxo de Caixa para para o período " &amp; TEXT(E1,"mmm/aa") &amp; " até " &amp; TEXT(E2,"mmm/aa")</f>
        <v>Fluxo de Caixa para para o período fev/20 até jun/20</v>
      </c>
    </row>
    <row r="5" spans="1:5" x14ac:dyDescent="0.35">
      <c r="A5" t="s">
        <v>146</v>
      </c>
      <c r="B5">
        <v>5</v>
      </c>
    </row>
    <row r="6" spans="1:5" x14ac:dyDescent="0.35">
      <c r="A6" t="s">
        <v>147</v>
      </c>
      <c r="B6">
        <v>6</v>
      </c>
    </row>
    <row r="7" spans="1:5" x14ac:dyDescent="0.35">
      <c r="A7" t="s">
        <v>148</v>
      </c>
      <c r="B7">
        <v>7</v>
      </c>
    </row>
    <row r="8" spans="1:5" x14ac:dyDescent="0.35">
      <c r="A8" t="s">
        <v>149</v>
      </c>
      <c r="B8">
        <v>8</v>
      </c>
    </row>
    <row r="9" spans="1:5" x14ac:dyDescent="0.35">
      <c r="A9" t="s">
        <v>150</v>
      </c>
      <c r="B9">
        <v>9</v>
      </c>
    </row>
    <row r="10" spans="1:5" x14ac:dyDescent="0.35">
      <c r="A10" t="s">
        <v>151</v>
      </c>
      <c r="B10">
        <v>10</v>
      </c>
    </row>
    <row r="11" spans="1:5" x14ac:dyDescent="0.35">
      <c r="A11" t="s">
        <v>152</v>
      </c>
      <c r="B11">
        <v>11</v>
      </c>
    </row>
    <row r="12" spans="1:5" x14ac:dyDescent="0.35">
      <c r="A12" t="s">
        <v>153</v>
      </c>
      <c r="B12">
        <v>12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6</vt:i4>
      </vt:variant>
    </vt:vector>
  </HeadingPairs>
  <TitlesOfParts>
    <vt:vector size="10" baseType="lpstr">
      <vt:lpstr>Dashboard</vt:lpstr>
      <vt:lpstr>Cadastros</vt:lpstr>
      <vt:lpstr>Fluxo de Caixa</vt:lpstr>
      <vt:lpstr>Auxiliar</vt:lpstr>
      <vt:lpstr>CentroDeCustos</vt:lpstr>
      <vt:lpstr>Contas</vt:lpstr>
      <vt:lpstr>Entradas</vt:lpstr>
      <vt:lpstr>Favorecidos</vt:lpstr>
      <vt:lpstr>Saídas</vt:lpstr>
      <vt:lpstr>Transferências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Moreira Guilherme BRBH</cp:lastModifiedBy>
  <dcterms:created xsi:type="dcterms:W3CDTF">2020-06-19T16:50:19Z</dcterms:created>
  <dcterms:modified xsi:type="dcterms:W3CDTF">2022-01-11T18:53:06Z</dcterms:modified>
</cp:coreProperties>
</file>